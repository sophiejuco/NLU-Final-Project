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T_ACT_15Qs" sheetId="1" r:id="rId5"/>
    <sheet state="visible" name="RACE-H_15Qs" sheetId="2" r:id="rId6"/>
    <sheet state="visible" name="Scoring Scheme" sheetId="3" r:id="rId7"/>
  </sheets>
  <definedNames/>
  <calcPr/>
</workbook>
</file>

<file path=xl/sharedStrings.xml><?xml version="1.0" encoding="utf-8"?>
<sst xmlns="http://schemas.openxmlformats.org/spreadsheetml/2006/main" count="540" uniqueCount="402">
  <si>
    <t>context</t>
  </si>
  <si>
    <t>{0}: Completely irrelevant to the passage, question, or task.</t>
  </si>
  <si>
    <t>question</t>
  </si>
  <si>
    <t>answerA</t>
  </si>
  <si>
    <t>answerB</t>
  </si>
  <si>
    <t>answerC</t>
  </si>
  <si>
    <t>{1}: One or two passage-related words/phrases, no reasoning.</t>
  </si>
  <si>
    <t>answerD</t>
  </si>
  <si>
    <t>correct</t>
  </si>
  <si>
    <t>{2}: Several passage-related words/phrases, no coherent reasoning.</t>
  </si>
  <si>
    <t>baseline rationale (official answers or Grok 3 generated)</t>
  </si>
  <si>
    <t>model output (SAT_ACT ft_v3)</t>
  </si>
  <si>
    <t>{3}: Basic reasoning with one logical step tied to the passage.</t>
  </si>
  <si>
    <t>Type of Q</t>
  </si>
  <si>
    <t>Answer</t>
  </si>
  <si>
    <t>{4}: Clear reasoning with multiple steps, transition words, and passage references, minor gaps possible.</t>
  </si>
  <si>
    <t>{5}: Thorough, accurate reasoning fully addressing the question with precise passage citations.</t>
  </si>
  <si>
    <t>Human Evaluations (Evaluator 1)(Simone)</t>
  </si>
  <si>
    <t>Evaluator 1 notes(Simone)</t>
  </si>
  <si>
    <t>Human Evaluations (Evaluator 2)(Anagha)</t>
  </si>
  <si>
    <t>Evaluator 2 notes(Anagha)</t>
  </si>
  <si>
    <t>Human Evaluations (Evaluator 3)(taruni)</t>
  </si>
  <si>
    <t>Evaluator 3 notes(Taruni)</t>
  </si>
  <si>
    <t>Human Evaluations (Evaluator 4)(Sophie)</t>
  </si>
  <si>
    <t>Evaluator 4 notes(Sophie)</t>
  </si>
  <si>
    <t>Bert Score</t>
  </si>
  <si>
    <t>ROUGE 1 F1</t>
  </si>
  <si>
    <t>ROUGE 2 F1</t>
  </si>
  <si>
    <t>ROUGE L F1</t>
  </si>
  <si>
    <t>The following text is adapted from Paul Laurence Dunbar’s 1902 novel The Sport of the Gods. Joe and some of his family members have recently moved to New York City. [Joe] was wild with enthusiasm and with a desire to be a part of all that the metropolis meant. In the evening he saw the young fellows passing by dressed in their spruce clothes, and he wondered with a sort of envy where they could be going. Back home there had been no place much worth going to, except church and one or two people’s houses.</t>
  </si>
  <si>
    <t>Which choice best states the main purpose of the text?</t>
  </si>
  <si>
    <t>George Bernard Shaw and Winston Churchill disliked each other. It is said that the playwright once sent Churchill two tickets for the opening night of one of his plays, together with a card, which said, "Bring a friend (if you have one)."
 Churchill, however, returned the tickets with a note, which said, "I shall be busy that evening. Please send me two tickets for the second night (if there is one)."
 There is no record of whether Shaw ever sent the tickets.</t>
  </si>
  <si>
    <t>It illustrates a character’s reaction to a new environment.</t>
  </si>
  <si>
    <t>It explains why a character has traveled to a city.</t>
  </si>
  <si>
    <t>It compares a character’s thoughts about an event at two different times of day.</t>
  </si>
  <si>
    <t>Why didn't Churchill want the tickets for the first night?</t>
  </si>
  <si>
    <t>It presents a character feeling regret over leaving home.</t>
  </si>
  <si>
    <t>He didn't want to take Shaw's insult .</t>
  </si>
  <si>
    <t>A</t>
  </si>
  <si>
    <t>The theatre would not be as crowded the second night.</t>
  </si>
  <si>
    <t>He was busy on the first night of the show.</t>
  </si>
  <si>
    <t>Choice A is the best answer because it accurately captures the text’s main purpose. The text highlights Joe’s enthusiasm and curiosity about New York City, noting his observations of well-dressed young men and contrasting this with the limited social options back home. This shows the text’s focus on illustrating Joe’s reaction to his new urban environment, not his reasons for moving, thoughts at different times, or regret about leaving home.</t>
  </si>
  <si>
    <t>He couldn't find a friend to go with him the first night.</t>
  </si>
  <si>
    <t>A: provides a good answer to a question about a passage because it exhibits both an aspect of the question and an answer that exhibits the main point of the passage.
 ’[</t>
  </si>
  <si>
    <t>Summary</t>
  </si>
  <si>
    <t>Correct</t>
  </si>
  <si>
    <t>Choice A is the best answer because it correctly explains why Churchill rejected the first-night tickets. Shaw’s insulting note, “Bring a friend (if you have one),” implies Churchill lacks friends, and Churchill’s sharp reply suggests he returned the tickets to avoid accepting the insult, not due to being busy, crowd concerns, or lacking a friend, as supported by their mutual dislike in the text.</t>
  </si>
  <si>
    <t>A: offered no reason for Churchill’s refusal, but it seems likely that he disliked Shaw because of the insult. Either way, the passage provides an example of a situation in which a statement like the one in (A) could provide an answer to a question about why a person might decline an offer of two tickets to a play if that offer was accompanied by a note saying that the person would have to be busy the night before the performance if the offer was accepted. [Example 2]</t>
  </si>
  <si>
    <t>Reasoning is present but not passage-specific.</t>
  </si>
  <si>
    <t>Chooses the right choice without any reasoing</t>
  </si>
  <si>
    <t>Gives reasoning but it’s not about the passage</t>
  </si>
  <si>
    <t>Correct reasoning tied to passage.</t>
  </si>
  <si>
    <t>doesn't explain what the main point of the text is &amp; why A is the best answer</t>
  </si>
  <si>
    <t>Superb reasoning and context</t>
  </si>
  <si>
    <t>Correct reasoning related to the passage</t>
  </si>
  <si>
    <t>reflects the insult as the reasoning</t>
  </si>
  <si>
    <t>The following text is adapted from Gwendolyn Bennett's 1926 poem “Street Lamps in Early Spring.” "Night wears a garment All velvet soft, all violet blue ... And over her face she draws a veil As shimmering fine as floating dew ... And here and there In the black of her hair The subtle hands of Night Move slowly with their gem-starred light."</t>
  </si>
  <si>
    <t>Which choice best describes the overall structure of the text?</t>
  </si>
  <si>
    <t>It presents alternating descriptions of night in a rural area and in a city.</t>
  </si>
  <si>
    <t>It sketches an image of nightfall, then an image of sunrise.</t>
  </si>
  <si>
    <t>It makes an extended comparison of night to a human being.</t>
  </si>
  <si>
    <t>It portrays how night changes from one season of the year to the next.</t>
  </si>
  <si>
    <t>C</t>
  </si>
  <si>
    <t>When George was thirty-five, he bought a small plane and learned to fly it. He soon became very good and made his plane do all kinds of tricks .
 George had a friend, whose name was Mark. One day George offered to take Mark up in his plane.
 Mark thought, " I've traveled in a big plane several times, but I've never been in a small one, so I'll go. "
 They went up, and George flew around for half an hour and did all kinds of tricks in the air.
 When they came down again, Mark was glad to be back safely, and he said to his friend in a
 shaking voice, "Well , George, thank you very much for those two trips in your plane."
 George was very surprised and said, " Two trips? "
  " Yes, my first and my last. " answered Mark.</t>
  </si>
  <si>
    <t>Choice C is the best answer because it most accurately describes the overall
 structure of the text. Throughout the text, the speaker characterizes nighttime as
 if it were a person who wears clothing (“a garment” that is “velvet soft” and “violet
 blue”) and a veil “over her face” and who moves her hands “slowly with their
 gem-starred light” through her dark hair. Thus, the text is structured as an
 extended comparison of night to a human being.</t>
  </si>
  <si>
    <t>Which of the following statements is false?</t>
  </si>
  <si>
    <t>A: provides a good structure for the question, because it exhibits a sequence of steps that step through the structure of a question and answer.
 ’[</t>
  </si>
  <si>
    <t>George learned to fly a plane very quickly .</t>
  </si>
  <si>
    <t>It took George a short time to learn to fly a plane.</t>
  </si>
  <si>
    <t>Wrong</t>
  </si>
  <si>
    <t>George had some difficulty learning to fly a plane.</t>
  </si>
  <si>
    <t>Mark decided to fly in George's small plane.</t>
  </si>
  <si>
    <t>Reasoning is not very coherent or passage-specific</t>
  </si>
  <si>
    <t>Choice C is the best answer because it is the false statement about the passage. The passage states that George, at thirty-five, bought a small plane, learned to fly it, and “soon became very good,” indicating he learned quickly and proficiently. However, Choice C is false, as the passage provides no evidence of difficulty, only that he learned quickly and excelled.</t>
  </si>
  <si>
    <t>Choses the right choice but with unclear reasoning. Maintains context</t>
  </si>
  <si>
    <t>A: both statements are false because they imply that George had to learn very quickly or that it took a very short time for him to become very good at flying a plane, when in fact it took him only two trips.
 ’[</t>
  </si>
  <si>
    <t>Reasoning is unclear and not tied to the passage</t>
  </si>
  <si>
    <t>some reasoning but all circular</t>
  </si>
  <si>
    <t>Incorrect reasoning that only includes a single step.</t>
  </si>
  <si>
    <t>Maintains context, no logical reasoning</t>
  </si>
  <si>
    <t>Talks about the right idea but not clearly or directly</t>
  </si>
  <si>
    <t>While researching a topic, a student has taken the following notes: Some powerful works of literature have so influenced readers that new legislation has been passed as a result. The Interesting Narrative of the Life of Olaudah Equiano (1789) is the autobiography of a man who endured slavery on both sides of the Atlantic. Equiano’s book contributed to the passage of the Slave Trade Act of 1807. The Jungle (1906) is a fictional work by Upton Sinclair that describes unsanitary conditions in US meatpacking plants. Sinclair’s book contributed to the passage of the Pure Food and Drug Act in 1906.</t>
  </si>
  <si>
    <t>correct that he learned easily but didn't give the right reasoning that the answers were false</t>
  </si>
  <si>
    <t>The student wants to emphasize a difference between the two books. Which choice most effectively uses relevant information from the notes to accomplish this goal?</t>
  </si>
  <si>
    <t>Although both are powerful works of literature that contributed to new legislation, Equiano’s book is an autobiography, while Sinclair’s is fictional.</t>
  </si>
  <si>
    <t>They may have written about different topics, but Equiano and Sinclair both influenced readers.</t>
  </si>
  <si>
    <t>The 1807 Slave Trade Act resulted in part from a book by Equiano, while the 1906 Pure Food and Drug Act resulted in part from a book by Sinclair.</t>
  </si>
  <si>
    <t>On the morning of November 18, 1755, an earthquake shock Boston. John Winthrop, a professor at Harvard College, felt the quake and awoke. "I rose", Winthrop wrote, "and lighted a candle, looked at my watch, and found it to be 15minutes after four." John Winthrop hurried downstairs to the grandfather clock. It had stopped three minutes before, at 4:12. Except for stopping the clock, the quake had only thrown a key from the mantel to the floor.
 The clock had stopped because Winthrop had put some long glass tubes he was using for an experiment into the case for safekeeping. The quake had knocked the tubes over and blocked the pendulum .Winthrop, therefore, had the key on the floor. The quake had thrown _ forward in the direction of the quake' s motion by a shock coming from the northwest, perhaps in Canada.</t>
  </si>
  <si>
    <t>The Interesting Narrative of the Life of Olaudah Equiano and The Jungle are two works of literature that contributed to new legislation (concerning the slave trade and food safety, respectively).</t>
  </si>
  <si>
    <t>John Winthrop put some tubes into this clock case because _ .</t>
  </si>
  <si>
    <t>B</t>
  </si>
  <si>
    <t>he wanted to do an experiment</t>
  </si>
  <si>
    <t>Choice B is the best answer because it effectively emphasizes a difference between Equiano’s The Interesting Narrative of the Life of Olaudah Equiano and Sinclair’s The Jungle by noting they “written about different topics”—slavery versus unsanitary meatpacking conditions—as per the notes. This directly highlights a key distinction in their subject matter, aligning with the student’s goal.</t>
  </si>
  <si>
    <t>he thought an earthquake was probably to happen soon</t>
  </si>
  <si>
    <t>he thought it safe for them to be put there</t>
  </si>
  <si>
    <t>A: because the two examples show how a single work of literature—an autobiography, a fictional narrative, or a dramatic work—can have a significant impact on legislation, an essay or question about a specific piece of literature can benefit from an examination of how that work has influenced legislation.
 ’[</t>
  </si>
  <si>
    <t>he wanted to record the exam time of the earthquake</t>
  </si>
  <si>
    <t>Choice C is the best answer because it accurately explains why John Winthrop put the glass tubes into the clock case, as described in the passage. The passage states that Winthrop placed the tubes in the case “for safekeeping,” indicating he believed it was a safe place to store them.</t>
  </si>
  <si>
    <t>Passage specific but does not contain multiple logical steps.</t>
  </si>
  <si>
    <t>A. the clock's pendulum clock stopped because of the tubes blocking the clock’s mechanism; and, because the tubes blocked the mechanism, the clock stopped for a few minutes because of a delay caused by the stoppage of the clock mechanism. The sequence of events, then, is: [A]</t>
  </si>
  <si>
    <t xml:space="preserve">Maintains context relevant reasoning </t>
  </si>
  <si>
    <t>Circular reasoning that is incorrect and does not relate to selected answer.</t>
  </si>
  <si>
    <t xml:space="preserve">Talks about the passage but explanation is unclear </t>
  </si>
  <si>
    <t>Maintains some context, shalow circular reasoning</t>
  </si>
  <si>
    <t>better complex reasoning</t>
  </si>
  <si>
    <t>There is context but repeats itself without valid logic</t>
  </si>
  <si>
    <t>talks abt clock but doesn't address question</t>
  </si>
  <si>
    <t>By combining Indigenous and classical music, Cree composer and cellist Cris Derksen creates works that reflect the diverse cultural landscape of Canada. For her album Orchestral Powwow, Derksen composed new songs in the style of traditional powwow music that were accompanied by classical arrangements played by an orchestra. But where an orchestra would normally follow the directions of a conductor, the musicians on Orchestral Powwow are led by the beat of a powwow drum.</t>
  </si>
  <si>
    <t>Are you hard-working? Do you like to meet people? If your answer is "Yes", then we have a
 job for you as a waiter.
 Call AL Hotel at 556779! 
  (2) SUMMER JOB
 Do you like to talk with people? Do you like to write stories? If you want to work for our magazine as a reporter, please call Karen at 558366.
 (3) HELP WANTED
  Do you like babies? Can you look after one baby for two days? If you are sure to take food
 care of it, call us at 766588. $80 or more. Today! Hurry! 
  (4)CLEANER WANTED
 Can you make a large house clean and tidy?
 If you hope to get the job paid at $20 once, call us this evening 18:00-20:00. Tel:633800</t>
  </si>
  <si>
    <t>The above job ads are probably from a _ .</t>
  </si>
  <si>
    <t>newspaper</t>
  </si>
  <si>
    <t>To examine how Derksen’s musical compositions blend cultures</t>
  </si>
  <si>
    <t>story book</t>
  </si>
  <si>
    <t>TV show</t>
  </si>
  <si>
    <t>To argue that Derksen should be recognized for creating a new style of music</t>
  </si>
  <si>
    <t>radio program</t>
  </si>
  <si>
    <t>To describe the difficulties Derksen encountered when producing her album</t>
  </si>
  <si>
    <t>Choice A is the best answer because it correctly identifies the source of the job ads as a newspaper. The passage presents four job advertisements with brief descriptions, contact numbers, and specific details (e.g., pay, hours), formatted in a concise, text-based style typical of classified sections in newspapers.</t>
  </si>
  <si>
    <t>To establish a contrast between Derksen’s classical training and her Cree heritage</t>
  </si>
  <si>
    <t>A: earlier time, when the ads were written. Now, because the ads are describing a job opening in a later time period, the sequence of events adds an element of temporal causality: the ad describes a sequence of cause-and-effect sequences, each of which is a part of a larger sequence. The sequence of sequences is a cause, and the ad touts the sequence as part of the description of the job opening. The ad then links the sequence to the larger sequence, which in turn links it to the ad's claim that the sequence causes the ad to mention the sequence in the ad. This is a good example of how an ad can add a temporal element to an otherwise unidimensional description: an ad about a</t>
  </si>
  <si>
    <t>Choice A is the best answer because it accurately captures the main purpose of the text. The text describes how Cris Derksen combines Indigenous powwow music with classical arrangements in her album Orchestral Powwow, highlighting her use of a powwow drum to lead the orchestra. This illustrates her blending of Indigenous and classical musical traditions to reflect Canada’s diverse cultural landscape.</t>
  </si>
  <si>
    <t>Choice A: highlights a difference in the two pieces because the orchestral arrangement is accompanied by a rhythmic pattern that would normally be directed by a conductor.
C: The addition of a drumbeat in the arrangement helps to draw the attention of the audience to the piece“s distinctive rhythmic patterns, which would otherwise be lost in a more traditional arrangement.’
’[</t>
  </si>
  <si>
    <t>Provides reasoning but unclear as to what answer it is selecting.</t>
  </si>
  <si>
    <t>Maintains the context of music, reasi=oning not clear</t>
  </si>
  <si>
    <t>Correct answer but reasoning is unclear</t>
  </si>
  <si>
    <t>Reasoning present but incoherent.</t>
  </si>
  <si>
    <t>discusses difference to "regular" compositions</t>
  </si>
  <si>
    <t>Reasoning is about time period</t>
  </si>
  <si>
    <t>Some relevant reasoning words but unclear or confused logic</t>
  </si>
  <si>
    <t>Painter Alma W. Thomas was fascinated by the colors and shapes found in nature. The flowers and trees in the garden at her home in Washington, DC, [BLANK] her work. For example, Thomas’s use of broken brushstrokes was inspired by the way that light would shine through the leaves of a tree in front of her house.</t>
  </si>
  <si>
    <t>Which choice completes the text with the most logical and precise word or phrase?</t>
  </si>
  <si>
    <t>restricted</t>
  </si>
  <si>
    <t>announced</t>
  </si>
  <si>
    <t>distracted</t>
  </si>
  <si>
    <t>influenced</t>
  </si>
  <si>
    <t>D</t>
  </si>
  <si>
    <t>talks abt time period as the reasoning for its choice</t>
  </si>
  <si>
    <t>Choice D is the best answer because it most logically completes the text’s
 discussion of painter Alma W. Thomas’s work. In this context, “influenced” means
 to have had an effect on something’s development. The text indicates that there
 is a connection between Thomas’s work and the flowers and trees in her home’s
 garden, giving the example of Thomas’s brushstrokes being inspired by light
 shining through the leaves of a tree in front of her house. This context conveys
 that Thomas’s work was influenced by the flowers and trees in the garden.</t>
  </si>
  <si>
    <t>Choice A completes the sentence because it provides a logical connection between the two statements.
 ’[</t>
  </si>
  <si>
    <t>Fill in the blank</t>
  </si>
  <si>
    <t>References passage statements but does not give clear reasoning.</t>
  </si>
  <si>
    <t>, however lacks explanations</t>
  </si>
  <si>
    <t>My father, at the death of his father, was six years old, and he grew up without education. He moved from Kentucky to Indiana when I was seven. We reached our new home about the time the state came into the Union. It was a wild area, with many bears and other wild animals still in the woods. I grew up there. There were some so-called schools, but what was required of a teacher never went beyond "reading, writing, and adding." If a stranger supposed to understand Latin happened to live for a time in the area, he was looked on as wizard . There was simply nothing to excite a desire for education. Of course, when I grew up, I did not know much. Still, somehow, I could read, write, and add, but that was all. The advance I have now made is on this store of education, which I have picked up under the pressure of necessity.</t>
  </si>
  <si>
    <t>Uses passage words but reasoning is unclear</t>
  </si>
  <si>
    <t>lacks explanation of word semantic reasoning</t>
  </si>
  <si>
    <t>How did the writer look at his early education?</t>
  </si>
  <si>
    <t>He believed he met the school requirements.</t>
  </si>
  <si>
    <t>He thought he was well-educated.</t>
  </si>
  <si>
    <t>He thought it was not satisfactory.</t>
  </si>
  <si>
    <t>Barring major archaeological discoveries, we are unlikely to ever have [BLANK] account of ancient Egypt under the female pharaoh Hatshepsut, as much of the evidence of her reign was deliberately destroyed by her successors.</t>
  </si>
  <si>
    <t>He believed he was poorly educated.</t>
  </si>
  <si>
    <t>an imaginative</t>
  </si>
  <si>
    <t>a superficial</t>
  </si>
  <si>
    <t>an exhaustive</t>
  </si>
  <si>
    <t>Choice C is the best answer because it accurately reflects how the writer viewed his early education. The passage describes the writer’s childhood in a “wild area” with limited schools where teachers only needed basic skills (“reading, writing, and adding”). The writer states, “Of course, when I grew up, I did not know much,” and notes that his education was minimal, only covering basic literacy and arithmetic, which he later built upon “under the pressure of necessity.” This indicates he found his early education unsatisfactory.</t>
  </si>
  <si>
    <t>a questionable</t>
  </si>
  <si>
    <t>A: nothing satisfied him as an education, so he gave up on it. He gave up because he did not see the value in it, because it did not excite him, because he had not learned much, because there was nothing in it that moved him, and because he could not see how it would help him in the long run.
 ’’ ’
 [</t>
  </si>
  <si>
    <t>Choice C is the best answer because it most logically completes the text’s
 discussion of historical evidence about ancient Egypt under the reign of the
 pharaoh Hatshepsut. In this context, “an exhaustive” account would be a thorough
 one. The text states that much of the evidence from her reign was purposely
 destroyed—in other words, there is a lack of surviving records. This context
 conveys that unless there are major new archaeological discoveries, an
 exhaustive account of Hatshepsut’s reign is unlikely.</t>
  </si>
  <si>
    <t>Choice A: a complete because it provides a logical and complete statement; choice B: a superficial because it does not; choice C: an exhaustive because it is questionable; choice D: a questionable because it offers no logical connection with the preceding sentence.
 A. an extensive record of ancient Egyptian history because much of it has been intentionally destroyed by successive Egyptian monarchs, many of whom also deliberately destroyed archaeological evidence of previous reigns. [End]</t>
  </si>
  <si>
    <t>Provides clear reasoning with multiple steps. However, reasoning is not accurate.</t>
  </si>
  <si>
    <t>Coherent reasoning but incorrect and not closely related to selected answer.</t>
  </si>
  <si>
    <t>Maintains some context, reasoning not accurate</t>
  </si>
  <si>
    <t>Has steps but reasoning is wrong</t>
  </si>
  <si>
    <t>good reasoning structure but incorrect</t>
  </si>
  <si>
    <t>talks abt Egypt but "a complete" and "an extensive" are not answer options</t>
  </si>
  <si>
    <t>Correct reasoning but wrong answer</t>
  </si>
  <si>
    <t>correct reasoning, wrong answer</t>
  </si>
  <si>
    <t>In her two major series “Memory Test” and “Autobiography,” painter Howardena Pindell explored themes [BLANK] healing, self-discovery, and memory by cutting and sewing back together pieces of canvas and inserting personal artifacts, such as postcards, into some of the paintings.</t>
  </si>
  <si>
    <t>Which choice completes the text so that it conforms to the conventions of Standard English?</t>
  </si>
  <si>
    <t>of</t>
  </si>
  <si>
    <t>of,</t>
  </si>
  <si>
    <t>of—</t>
  </si>
  <si>
    <t>of:</t>
  </si>
  <si>
    <t>Choice A is the best answer. The convention being tested is punctuation between a
 preposition and its complement. No punctuation is needed between the preposition
 “of” and its complement, the noun phrase “healing, self-discovery, and memory.”</t>
  </si>
  <si>
    <t>Christmas Day, the birthday of Jesus Christ, is the most important festival in prefix = st1 /Britainand some other countries. On Christmas Eve, people usually tell their children to put their stockings at the end of their beds before they go to sleep. Children believe Santa Claus, with the other name of Father Christmas, will come during the night and fill their stockings with Christmas presents.
  Actually , Father Christmas is children's father. He dresses up in a red coat and waits until children fall asleep. Then he goes into children's bedrooms, and puts small presents in their stockings. When children are no longer young, they know who Father Christmas really is.
  Not only children but also their parents enjoy Christmas stockings. They also have stockings. Early on the morning of Christmas Day, children wake their parents up and say"Merry Christmas". Then they help their parents open their stockings. Everybody likes presents. But it is better to give than to receive.</t>
  </si>
  <si>
    <t>Choice A completes the sentence because it provides a logical, complete, and specific statement of the question and the answer.
 ’[</t>
  </si>
  <si>
    <t>What do all the British children do on Christmas Eve in the story?</t>
  </si>
  <si>
    <t>They talk all the night.</t>
  </si>
  <si>
    <t>Shallow reasoning with only one step.</t>
  </si>
  <si>
    <t>They sing and dance.</t>
  </si>
  <si>
    <t>They put their stockings at the end of their beds.</t>
  </si>
  <si>
    <t>Reasoning is present but not in detail, maintains context</t>
  </si>
  <si>
    <t>They won't sleep until Father Christmas comes.</t>
  </si>
  <si>
    <t>Correct answer but provides just one shallow justification</t>
  </si>
  <si>
    <t>Choice C is the best answer because it accurately describes what all British children do on Christmas Eve according to the passage. The text states, “On Christmas Eve, people usually tell their children to put their stockings at the end of their beds before they go to sleep,” indicating this is a common practice for children.</t>
  </si>
  <si>
    <t>correct answer and technical reasoning but doesn't discuss specific grammar reasons</t>
  </si>
  <si>
    <t>A: their sleep is filled with presents; but giving presents is better than receiving them, because giving gives the giftgiver pleasure and the giver a lasting memory of the gift.
 A. because giving makes the gift giver feel good, while receiving takes the gift away.
 In a similar way, an important part of the human experience is the feeling of being in the presence of a gift. When we receive a gift, we experience the gift as if it had been given to us; but when a gift is given, it is given to someone else, and the experience of receiving it is replaced by that of giving it. In this way, the act of giving a gift replaces the memory of receiving the gift, which is why</t>
  </si>
  <si>
    <t>Eighteen letters written by Louisa May Alcott, author of the popular novel Little Women (1868), can be found at the New York Historical Society. [BLANK] letters demonstrate Alcott’s keen business sense in her interactions with publishers</t>
  </si>
  <si>
    <t>Reasoning is present but incoherent.</t>
  </si>
  <si>
    <t>One</t>
  </si>
  <si>
    <t>Incoherent reasoning</t>
  </si>
  <si>
    <t>That</t>
  </si>
  <si>
    <t>This</t>
  </si>
  <si>
    <t>There is reasoning but it is incoherent</t>
  </si>
  <si>
    <t>These</t>
  </si>
  <si>
    <t>talks abt presents but not stockings</t>
  </si>
  <si>
    <t>Choice D is the best answer. The convention being tested is the use of
 determiners in a sentence. The plural determiner “these” agrees in number with
 the plural noun “letters” that it modifies. This choice clearly indicates that the
 letters demonstrate Alcott’s business sense.</t>
  </si>
  <si>
    <t>A: completes the sentence because the sequence of letters in a sequence of eighteen letters provides a logical, complete statement of the question and the answer.
 ’[</t>
  </si>
  <si>
    <t>Circular reasoning that is incorrect.</t>
  </si>
  <si>
    <t>Reasoning present, no answer choice selected</t>
  </si>
  <si>
    <t>Repeats itself without valid logic</t>
  </si>
  <si>
    <t>Mars is the planet most like Earth.Flying to Mars is a difficult task for humans.
 There is an experiment with the name "Mars 500" in Russia.Six volunteers take part in the experiment.They come from China, Russia, France and Italy.They won't go to outer space.They will stay in small modules on the ground for 520 days.It's just like a real journey
 In the modules, they will experience a lot: flying to Mars, flying back and working on Mars.During the long "journey", the volunteers can only eat space food.They can shower every 10 days.They can call their friends or families.Anyone of them can _ if he doesn't feel well.This experiment helps scientists know how well humans will be on a long journey to Mars.
 Wangyue, 26, from China, is the youngest of the volunteers.He is a teacher at the China Astronaut Research and Training Center in Beijing.</t>
  </si>
  <si>
    <t>irrelevant answer abt character count</t>
  </si>
  <si>
    <t>Which of the statement is Not True?</t>
  </si>
  <si>
    <t>The volunteers are not going to move to outer space.</t>
  </si>
  <si>
    <t>The volunteers will stay on the Mars for more than 17 months.</t>
  </si>
  <si>
    <t>Slam poet Elizabeth Acevedo’s debut novel The Poet X, winner of the 2018 National Book Award for Young People’s Literature, is composed of [BLANK] protagonist, fifteen-year-old Xiomara Batista.</t>
  </si>
  <si>
    <t>The volunteers can make video calls to their friends and families</t>
  </si>
  <si>
    <t>The name of the experiment is "Mars 500".</t>
  </si>
  <si>
    <t>poems putatively written by the novel’s</t>
  </si>
  <si>
    <t>poem’s putatively written by the novel’s</t>
  </si>
  <si>
    <t>poem’s putatively written by the novels’</t>
  </si>
  <si>
    <t>poems putatively written by the novels’</t>
  </si>
  <si>
    <t>Choice C is the correct answer because it identifies a false statement about the “Mars 500” experiment. The passage states that volunteers “can call” friends or families, but does not mention video calls. Thus, the claim in Choice C that volunteers can make video calls is not supported by the text.</t>
  </si>
  <si>
    <t>Choice A is the best answer because it correctly completes the sentence per Standard English conventions. The phrase “poems putatively written by the novel’s” uses the plural “poems” to reflect the novel’s poetry-based structure, “putatively” to indicate attribution to the protagonist, and “novel’s” for the singular novel, The Poet X. Choice A is grammatically correct and contextually fitting.</t>
  </si>
  <si>
    <t>A: just like on a real Mars journey, the volunteers will experience many things during the 520-day Mars mission. During that time, they can only experience a few things: eating space food, showering, calling friends and family, and participating in experiments. But during the long journey, they experience many more things, such as flying to and landing on Mars, working on the planet, and learning about life on Mars and life on Earth. The statement about the volunteers experiencing a lot during the Mars 500 experiment is an accurate description of what will happen to them during that long journey. It is an example of a good reason for a statement to be a part of a question: it helps the reader see how the statement contributes to the question</t>
  </si>
  <si>
    <t>Choice A completes the sentence because it provides a logical and complete answer to the question.
 ’A,’ sequence of four syllables, completes the syllable-structure of the question by adding a final syllable to the final two syllables of the last syllable in the question: a syllable that is not part of either the question or the sequence of syllables. ’A’’
 A: provides a complete and logical ending to the sentence, because it completes the question's structure by adding an extra syllable at the end of the sequence: an addition that is part of both the question and the sequence but not a part of any syllable within either.’ A’</t>
  </si>
  <si>
    <t>Accurate reasoning that is thorough and passage-specific.</t>
  </si>
  <si>
    <t>Tries to reason well, maintains context</t>
  </si>
  <si>
    <t>Model ignores question of selecting a False statement.</t>
  </si>
  <si>
    <t>Correct answer but explanation is not exactly tied to the passage</t>
  </si>
  <si>
    <t>Reasoning which is not relevant</t>
  </si>
  <si>
    <t>correct answer but talks abt syllables when this is a question abt possession</t>
  </si>
  <si>
    <t>The explanation is there but not very clear or correct</t>
  </si>
  <si>
    <t>talks abt mars but not abt the video vs telephone calls</t>
  </si>
  <si>
    <t>In 2008, two years after the death of science fiction writer Octavia Butler, the Huntington Library in [BLANK] received a collection of more than 8,000 items, including Butler’s private notes, research materials, manuscripts, photos, and drawings. Today, the Octavia E. Butler Collection is one of the most researched archives at the library.</t>
  </si>
  <si>
    <t>California,</t>
  </si>
  <si>
    <t>California:</t>
  </si>
  <si>
    <t>California—</t>
  </si>
  <si>
    <t>California</t>
  </si>
  <si>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</si>
  <si>
    <t>Choice D is the best answer because it completes the sentence in accordance with Standard English conventions. The phrase “the Huntington Library in California” uses “California” without additional punctuation, which is clear and grammatically correct. The prepositional phrase “in California” directly specifies the library’s location without needing commas, colons, or dashes.</t>
  </si>
  <si>
    <t>Ramps can help people_.</t>
  </si>
  <si>
    <t>A: provides a complete statement of the sequence of events in a question-and-answer sequence; choice A completes the sequence by providing a sequence of four consecutive answers that, in a logical sequence, completes the question and answers the last two questions.
 ’[</t>
  </si>
  <si>
    <t>with hearing problems</t>
  </si>
  <si>
    <t>who have difficulty in using their hands</t>
  </si>
  <si>
    <t>who have difficulty in using their legs or feet</t>
  </si>
  <si>
    <t>Incorrect reasoning but includes multiple steps.</t>
  </si>
  <si>
    <t>who don't like stairs</t>
  </si>
  <si>
    <t>Choice C is the correct answer because it accurately identifies who ramps help, as described in the passage. The passage states, “Ramps must be built so people can get into buildings,” in the context of a law ensuring accessibility for people with disabilities, particularly those using wheelchairs. Ramps specifically aid individuals with difficulty using their legs or feet, such as wheelchair users, by providing an alternative to stairs, making Choice C the best fit.</t>
  </si>
  <si>
    <t>this question does not have anything to do with sequence</t>
  </si>
  <si>
    <t>Choice A is correct because the passage specifically mentions ramps, which help people get into or out of buildings. A total of eight people can fit on a ramp at a time, so a total of four people could fit on an elevator at the same time. The total is four because two people fit on one elevator and two fit on two elevators simultaneously. Because the passage does not specifically mention a person with a disability needing a wheelchair, Choice A is not an incorrect answer because there is no specific requirement that a person need a wheelchair in order to be helped by a ramp or an elevator. However, if a person needs a wheelchair because of a specific disability, then the passage would need to specifically mention the person's disability in order for the total</t>
  </si>
  <si>
    <t>A firefly uses specialized muscles to draw oxygen into its lower abdomen through narrow tubes, triggering a chemical reaction whereby the oxygen combines with chemicals in the firefly's abdomen to produce a glow. [BLANK] when the firefly stops drawing in oxygen, the reaction—and the glow—cease.</t>
  </si>
  <si>
    <t>Which choice completes the text with the most logical transition?</t>
  </si>
  <si>
    <t>For instance,</t>
  </si>
  <si>
    <t>By contrast,</t>
  </si>
  <si>
    <t>Specifically,</t>
  </si>
  <si>
    <t>In conclusion,</t>
  </si>
  <si>
    <t>Choice B is the best answer. “By contrast” logically signals that the information in
 this sentence—that a firefly’s glow ceases when it stops drawing in oxygen—
 contrasts with the previous sentence’s discussion of the processes that cause a
 firefly to begin to glow.</t>
  </si>
  <si>
    <t>Choice A completes the sentence because it provides a logical and complete statement of the sequence of events.
 ’[</t>
  </si>
  <si>
    <t>Reasoning incoherent.</t>
  </si>
  <si>
    <t>Shallow reasoning that is incorrect but relates to question.</t>
  </si>
  <si>
    <t>Some reasoning, maintains context</t>
  </si>
  <si>
    <t>Reasons but nothing related to the context</t>
  </si>
  <si>
    <t>There is no logical explanation</t>
  </si>
  <si>
    <t>The explanation is there but not correct</t>
  </si>
  <si>
    <t>some reasoning abt disability but picks wrong answer</t>
  </si>
  <si>
    <t>Research conducted by planetary scientist Katarina Miljkovic suggests that the Moon’s surface may not accurately _______ early impact events. When the Moon was still forming, its surface was softer, and asteroid or meteoroid impacts would have left less of an impression; thus, evidence of early impacts may no longer be present</t>
  </si>
  <si>
    <t>Which choice completes the text with the most logical and precise word or phrase</t>
  </si>
  <si>
    <t>reflect</t>
  </si>
  <si>
    <t>receive</t>
  </si>
  <si>
    <t>evaluate</t>
  </si>
  <si>
    <t>Even if you are a good high-jumper, you can jump only about seven feet off the ground. You cannot jump any higher because the earth pulls you hard. The pull of the earth is called gravity.
  You can easily find out the pull of the earth. If you weigh yourself, you will know how much gravity is pulling you.
  Since there is gravity, water runs down hill. When you throw a ball into the air, it falls back down. Because of gravity, you do not fall off the earth as it whirls around.
  Then, can we get away from the earth and go far out into space? Now you can do it, because spaceships have been invented. Then spaceship will go so fast that it can escape the earth's gravity and carry you into space.</t>
  </si>
  <si>
    <t>In this passage, the word "gravity" means _ .</t>
  </si>
  <si>
    <t>the pull of everything.</t>
  </si>
  <si>
    <t>the force of attraction among objects.</t>
  </si>
  <si>
    <t>the force which attracts objects towards the centre of the earth</t>
  </si>
  <si>
    <t>the force which attracts the earth towards the sun.</t>
  </si>
  <si>
    <t>mimic</t>
  </si>
  <si>
    <t>Choice C is the correct answer because it accurately defines “gravity” as used in the passage. The passage explains gravity as the force that pulls objects toward the Earth, stating, “The pull of the earth is called gravity,” and illustrates this with examples like water running downhill, a ball falling back to the ground, and people not falling off the Earth. Choice C, “the force which attracts objects towards the centre of the earth,” precisely matches this description, capturing the Earth-centered attractive force described throughout the text.</t>
  </si>
  <si>
    <t>Choice A is the best answer because it most logically completes the text’s discussion of the Moon’s surface. In this context, “reflect” means show or make apparent. The text states that because the surface of the Moon was softer when the Moon was still forming than it is now, early asteroid and meteoroid impacts “would have left less of an impression” and, as a result, evidence of them may no longer exist. This context supports the idea that the surface of the Moon may not accurately show signs of early impact events.</t>
  </si>
  <si>
    <t>Choice A completes the sentence because it provides a logical and complete description of the sequence of events: the sample-gathering process, followed by the replacement of the sample, which occurred after the sample had been collected.
 ’[</t>
  </si>
  <si>
    <t>A. something that pulls something else towards a center, as in "the pull of gravity" or "the attraction of an object towards the earth"; or
 B. a force that causes an object to move in a certain direction, as when we say that "the earth pulls the ball down because of gravity."
 C. sometimes, a force is called a "pull" because it causes something else to move; as, for example, in the phrase "because of a strong pull on the ball," or in an adverbial phrase like "with great force," or as an adjective: "with a great pull," or, more generally, "with an extraordinary pull." The word "pulled" can also refer to a</t>
  </si>
  <si>
    <t>Single, correct reasoning step.</t>
  </si>
  <si>
    <t>No reasoning present.</t>
  </si>
  <si>
    <t>Irrelevant</t>
  </si>
  <si>
    <t>Checks each options and reasons well</t>
  </si>
  <si>
    <t>It kind of explains but not well</t>
  </si>
  <si>
    <t>good reasoning abt why each answer could be right but doesn't pick answer</t>
  </si>
  <si>
    <t>Researchers have found a nearly 164,000-year-old molar from a member of the archaic human species known as Denisovans in a cave in Laos, suggesting that Denisovans lived in a wider range of environments than indicated by earlier evidence. Before the discovery, Denisovans were thought to have lived only at high altitudes in relatively cold climates in what are now Russia and China, but the discovery of the tooth in Laos suggests that they may have lived at low altitudes in relatively warm climates in Southeast Asia as well.</t>
  </si>
  <si>
    <t>Which choice best states the function of the portion in the text, “Before the discovery, Denisovans were thought to have lived only at high altitudes in relatively cold climates in what are now Russia and China” as a whole?</t>
  </si>
  <si>
    <t>It dismisses as untrue the research presented in the previous sentence.</t>
  </si>
  <si>
    <t>It defines a term used in the description that follows in the rest of the sentence.</t>
  </si>
  <si>
    <t>It emphasizes the main goal of the research introduced in the previous sentence.</t>
  </si>
  <si>
    <t>It provides context that clarifies the significance of the information that follows in the rest of the sentence.</t>
  </si>
  <si>
    <t>One day Mr. Brown sees a young woman in the street with children. He is very surprised because all the children are wearing the same clothes. White caps, blue coats and yellow trousers.
 "Are all these children yours?" he asks the woman.
 "Yes, they are." she answers.
 "Do you always dress them in the same clothes ?" asks Mr. Brown.
 "Yes," answers the mother. "When we have four children, we dress them in the same clothes because we don't want to lose any of them. It is easy to see our children among other children because they are all wearing the same clothes.
 And now we have ten, we dress them like this because we don't want to take other children home by mistake. When there are other children among ours, it is easy to see them because their clothes are different.</t>
  </si>
  <si>
    <t>How many people does Mr. Brown see in the street one day? He sees _ in all.</t>
  </si>
  <si>
    <t>twelve</t>
  </si>
  <si>
    <t>Choice D is the best answer because it accurately captures the function of the underlined portion. The text, “Before the discovery, Denisovans were thought to have lived only at high altitudes in relatively cold climates in what are now Russia and China,” provides background on prior beliefs about Denisovans’ habitats. This context clarifies the significance of the Laos discovery, which suggests they also lived in warmer, low-altitude areas, expanding their known range, rather than dismissing research, defining terms, or stating the research’s goal.</t>
  </si>
  <si>
    <t>eleven</t>
  </si>
  <si>
    <t>A. Provokes the reader to ask a question based on the evidence provided in the preceding sentence;
 B. Provides the evidence in a way that helps the reader draw a conclusion based on that evidence; and
 C. Provides a way of drawing the reader's attention to a particular part of the evidence.
 ’’ [’]</t>
  </si>
  <si>
    <t>Replacing the text</t>
  </si>
  <si>
    <t>Does not give clear selected answer/reasoning.</t>
  </si>
  <si>
    <t>There is reasoning but nothing for the right answer and it didn't explicitely mentioned the answer</t>
  </si>
  <si>
    <t>descent reasoning but doesn't select an answer &amp; doens't reason for D</t>
  </si>
  <si>
    <t>four</t>
  </si>
  <si>
    <t>The following text is from Joan Didion’s memoir The Year of Magical Thinking. In the text, the author discusses her home life. [I]n California we heated our houses by buildingfires. We built fires even on summer evenings, because the fog came in. Fires said we were home, we had drawn the circle, we were safe through the night.</t>
  </si>
  <si>
    <t>ten children</t>
  </si>
  <si>
    <t>Which choice best describes the function of this 'Fires said we were home, we had drawn the circle, we were safe through the night.' portion in the text as a whole?</t>
  </si>
  <si>
    <t>It illustrates that a fire provides comfort beyondphysical warmth.</t>
  </si>
  <si>
    <t>It summarizes the information that came before it in the text.</t>
  </si>
  <si>
    <t>Choice D is the correct answer because it accurately states the number of people Mr. Brown sees in the street, as described in the passage. The passage mentions Mr. Brown seeing a young woman with children, and the woman later says, “And now we have ten,” referring to her ten children. Thus, Mr. Brown sees the woman plus her ten children, totaling eleven people, but the question’s phrasing and options suggest it seeks the number of children, making “ten children” (Choice D) the correct fit based on the mother’s statement.</t>
  </si>
  <si>
    <t>It explains that the house remains cold even insummer.</t>
  </si>
  <si>
    <t>It suggests that the author feels comfortable inher home with or without a fire.</t>
  </si>
  <si>
    <t>A: a total of twelve people in a single street-fronting group of eleven people, all of whom appear to be children. Because eight of the eleven people are directly in front of the questioner and four are off to the side or off the edge of the frame, ’At least 8,“’ four of them must be in the group.’
 ’[</t>
  </si>
  <si>
    <t>Choice A is the best answer because it most accurately describes how the
 underlined portion functions in the text as a whole. The first two sentences of the
 text establish that in California, houses were heated by building fires year-round.
 The underlined portion then indicates that the fires didn’t merely provide physical
 warmth: they also represented being “home” and feeling protected. The
 underlined portion thus illustrates that a fire provides comfort beyond physical
 warmth.</t>
  </si>
  <si>
    <t>Choice A: provides a good description of how the passage fits together, while Choice B, which contrasts with the first part of the passage, does not.
 ’[</t>
  </si>
  <si>
    <t>Provided reasoning but incorrect.</t>
  </si>
  <si>
    <t>Wrong numbers, maintains some context</t>
  </si>
  <si>
    <t>Correct reasoning but not thorough.</t>
  </si>
  <si>
    <t>good reasoning, also mentions why other choice is wrong</t>
  </si>
  <si>
    <t>mentions children, numbers are wrong</t>
  </si>
  <si>
    <t>Gives the right rationale</t>
  </si>
  <si>
    <t>descent reasoning &amp; reasons why another answer is wrong as well</t>
  </si>
  <si>
    <t>Mrs. Allen's husband died ten years ago when her son and daughter were still in high school. Mr. Allen had left some money, and since Mrs. Allen had managed a bookstore before she was married, she took the money and bought a shop in town. Later she moved the shop out to the shopping center.
  She was a pleasant woman; she worked hard and was well-informed about books, and so the bookstore prospered and she was able to hire a friend to help her.
  Laura Barnes, Mrs. Allen's friend and assistant, was also a widow. She had some free time and the need for a little extra-money, and so she took the job in the bookstore. She was too clever and friendly, and the two women were well-known in the neighbourhood as "Mrs. A"and "Mrs. B".</t>
  </si>
  <si>
    <t>The bookstore prospered _ .</t>
  </si>
  <si>
    <t>after Mrs. Allen lost control of it</t>
  </si>
  <si>
    <t>The following text is from Charlotte Forten Grimké’s 1888 poem “At Newport.” Oh, deep delight to watch the gladsome waves Exultant leap upon the rugged rocks; Ever repulsed, yet ever rushing on—Filled with a life that will not know defeat; To see the glorious hues of sky and sea. The distant snowy sails, glide spirit like, Into an unknown world, to feel the sweet Enchantment of the sea thrill all the soul, Clearing the clouded brain, making the heart Leap joyous as it own bright, singing waves!</t>
  </si>
  <si>
    <t>before Mrs. A got to know Mrs. B</t>
  </si>
  <si>
    <t>Which choice best describes the function of the portion, “Ever repulsed, yet ever rushing on—Filled with a life that will not know defeat;” in the text as a whole?</t>
  </si>
  <si>
    <t>because the two women had little housework to do</t>
  </si>
  <si>
    <t>It portrays the surroundings as an imposing and intimidating scene.</t>
  </si>
  <si>
    <t>because Mrs. A became expert at management and threw herself into it</t>
  </si>
  <si>
    <t>It characterizes the sea’s waves as a relentless and enduring force.</t>
  </si>
  <si>
    <t>It conveys the speaker’s ambivalence about the natural world.</t>
  </si>
  <si>
    <t>It draws a contrast between the sea’s waves and the speaker’s thoughts.</t>
  </si>
  <si>
    <t>Choice D is the correct answer because it accurately explains why the bookstore prospered, as described in the passage. The passage states that Mrs. Allen was a pleasant, hard-working, and well-informed woman who managed the bookstore, implying her expertise and dedication were key to its success. Choice D, “because Mrs. A became expert at management and threw herself into it,” aligns with these qualities, highlighting her management skills and commitment as the reasons for the bookstore’s prosperity.</t>
  </si>
  <si>
    <t>Choice B is the best answer because it most accurately describes how the
 underlined portion functions in the text as a whole. The text presents the
 speaker’s experience of viewing the sea. In the underlined portion, the speaker
 focuses on the idea that the waves hitting rocks on the shore are a relentless and
 enduring force: they are constantly pushed back (“ever repulsed”) but always
 return (“ever rushing on”), as though they have an energy that can’t be overcome
 (“a life that will not know defeat”).</t>
  </si>
  <si>
    <t>Choice A is the best answer, because it captures the entire point of the passage, which is that the bookstore thrived because of two women, one of whom was a widow and the other a friend, both of whom were expert at managing the store and throwing themselves into it, and because both women helped the bookstore thrive. The two women's combined contributions to the bookstore's success are the reason the passage says, "because they helped it thrive."
 A. together; individually, neither of them would have made a difference. But together, their combined efforts made the bookstore a success, and their combined contributions are what make the passage's description of their contributions an accurate description of what helped the passage describe the store's success: both women</t>
  </si>
  <si>
    <t>Option A: provides a good description of the structure of the passage, while Option B provides the best illustration of the element the passage is serving.
 ’At Newport,’ “Sweet delight to see the gleams of the glorious waves, Enraptured, ever rushing, on, filled with a soul that will never know defeat!’
 — CHARLOTTE FORTEN GRIMKÉ, OLYMPIC Hymn [1888]</t>
  </si>
  <si>
    <t>Provides clear reasoning but reasoning is incorrect in the context of the selected answer A</t>
  </si>
  <si>
    <t>Does not select single answer and goes off-task.</t>
  </si>
  <si>
    <t>Some reasoning, partial context</t>
  </si>
  <si>
    <t>Reasoning available, maintains context</t>
  </si>
  <si>
    <t>There is reasoning but didn't pick one choice</t>
  </si>
  <si>
    <t>mentions dedication but reasoning abt teamwork is incorrect</t>
  </si>
  <si>
    <t>descent reasoning abt B but A doesn't have to do with structure</t>
  </si>
  <si>
    <t>Average scores</t>
  </si>
  <si>
    <t>Jenny went to visit her friends in New York last weekend.Her friends met her at the airport on Friday afternoon and drove her to the hotel.They had dinner at a Chinese restaurant and went to see a film after that.
 Jenny and her friends set out early on Saturday morning for a farm and stayed there until Sunday morning.During their stay, they went fishing and swimming in the small river on the farm.They played football in the field and enjoyed a big meal around a camp fire , singing and dancing till late into the night.
 Nobody could get up early on Sunday morning.So when they got back to New York City, it was about three o'clock in the afternoon.They drove right to the airport because Jenny didn't want to miss her plane back home.Jenny only stayed in New York for two nights but she had a great time with her friends.</t>
  </si>
  <si>
    <t>Jenny went to New York _ .</t>
  </si>
  <si>
    <t>to do some shopping</t>
  </si>
  <si>
    <t xml:space="preserve">Overall note: the model always selects answer A </t>
  </si>
  <si>
    <t>to see her friends</t>
  </si>
  <si>
    <t>to spend her summer holiday</t>
  </si>
  <si>
    <t>to find a job</t>
  </si>
  <si>
    <t>Choice B is the correct answer because it accurately states Jenny’s reason for going to New York, as described in the passage. The passage begins by saying, “Jenny went to visit her friends in New York last weekend,” clearly indicating that her purpose was to see her friends. Choice B, “to see her friends,” directly aligns with this statement, reflecting her primary motivation for the trip.</t>
  </si>
  <si>
    <t>A: because of Jenny's presence; the bookstore thrived because of her presence and because her friends had a lot of fun while she was there. The bookstore would not have thrived if Jenny had not been there; it would have failed if the bookstore had not provided an environment in which Jenny could shop, dine, and enjoy the sights, sounds, and smells of the city. The presence of a person with a disability in a place of public accommodation—whether the place is a restaurant, a hotel, a theater, a hospital, a nursing home, a school, a library, or a transportation facility—can increase demand for the place, draw customers in, and increase sales. A place with a large number of patrons with disabilities</t>
  </si>
  <si>
    <t>Response unrelated to question but passage-specific</t>
  </si>
  <si>
    <t>Reasons but unrealated to the context</t>
  </si>
  <si>
    <t>There is an explanation but unrelated</t>
  </si>
  <si>
    <t>talking abt bookstore - there is no bookstore</t>
  </si>
  <si>
    <t>A young man went to a town and worked there. He did not have a wife and a servant did the work in his house.
 The young man liked laughing a lot. He nailed the servant's shoes to the floor on Monday, and then laughed, because he put his feet in them and fell down.
 The servant was not angry, but smiled. Then the young man put brushes in his bed on Tuesday. The servant got into bed and hit the brushes with his feet. He was afraid. The young man laughed loudly again. Again the servant was not angry, but smiled.
 Then on Wednesday the young man said to his servant, "You're a nice, kind man. I am not going to be unkind to you again."
 The servant smiled and said, "And I'm not going to put any more mud from the street in your coffee."</t>
  </si>
  <si>
    <t>The young man went to a town _ .</t>
  </si>
  <si>
    <t>Max score</t>
  </si>
  <si>
    <t>to study</t>
  </si>
  <si>
    <t>to work</t>
  </si>
  <si>
    <t>to see his relative</t>
  </si>
  <si>
    <t>to spend his holiday</t>
  </si>
  <si>
    <t>Choice B is the correct answer because it accurately identifies the young man’s reason for going to the town, as stated in the passage. The passage begins, “A young man went to a town and worked there,” directly indicating that his purpose was to work. Choice B, “to work,” aligns with this explicit statement, reflecting his primary motivation for moving to the town.</t>
  </si>
  <si>
    <t>A: and had a job there, but because he had a disability, he had to use a wheelchair to get to and from the building. The building had ramps, so he could get in and out easily. But because the building had no elevators, it had to change its layout to make room for him. The new layout made it easier for him to get from one floor to the next, but it also made it more difficult for the servant to get him out of bed. So the servant hit him with the brushes on Wednesday, and he fell down again. This time, though, the servant did not get angry. Instead, he smiled, because the servant knew that the boy was having a good time. The next day,</t>
  </si>
  <si>
    <t>Min score</t>
  </si>
  <si>
    <t>Mentions the correct answer but does not choose it and gives nonsensical reasoning</t>
  </si>
  <si>
    <t>Reasons but mentions unrealted context</t>
  </si>
  <si>
    <t>It talks about the context, but doesn't answer the question</t>
  </si>
  <si>
    <t>gives the reason but then talks abt disability</t>
  </si>
  <si>
    <t>Christmas Day is _ .</t>
  </si>
  <si>
    <t>the birthday of Jesus Christ</t>
  </si>
  <si>
    <t>the only day for giving presents</t>
  </si>
  <si>
    <t>the only day for receiving presents</t>
  </si>
  <si>
    <t>the day for playing games</t>
  </si>
  <si>
    <t>Choice A is the correct answer because it accurately describes Christmas Day, as stated in the passage. The passage begins, “Christmas Day, the birthday of Jesus Christ, is the most important festival in Britain and some other countries,” directly identifying Christmas Day as the birthday of Jesus Christ. Choice A, “the birthday of Jesus Christ,” aligns with this explicit statement, correctly reflecting the passage’s definition of the festival.</t>
  </si>
  <si>
    <t>A: a celebration of giving and receiving gifts, but it also offers an opportunity for children and their parents to play games and have fun. The act of giving presents on Christmas Day helps them feel special and helps them develop a sense of responsibility and ownership over the gifts they receive. [Example 2]</t>
  </si>
  <si>
    <t>Reasons but not well connected to the context</t>
  </si>
  <si>
    <t>satact_ft_v3</t>
  </si>
  <si>
    <t>There is reasoning but doesn't use context to explain</t>
  </si>
  <si>
    <t>reasoning but abt the wrong thing</t>
  </si>
  <si>
    <t>BERTScore Average for 30Q</t>
  </si>
  <si>
    <t>One day a student went to see his teacher. He had been given an important position and now was coming to say goodbye to his teacher. The old man asked him how he would live among high officials. The student answered, " I will be all right. I have prepared a hundred high hats, one for each official I will meet. I am sure I will succeed." The teacher got angry on hearing this. "What?" he cried. "Is this what ten years of my teaching has made of you? Nothing but flatterer ?" "Excuse me, honored master," the student rose to his feet and apologized hurriedly. "But you have always been absorbed in your studies and don't know how vulgar the world has come to be. There are few men in the world who are above flatterers like you." "There is something true in what you said," the teacher nodded, smiling with one of the student's "high hats" on.</t>
  </si>
  <si>
    <t>The teacher _ .</t>
  </si>
  <si>
    <t>liked to be flattered as well</t>
  </si>
  <si>
    <t>really knew nothing about the vulgar world</t>
  </si>
  <si>
    <t>was in need of a high hat</t>
  </si>
  <si>
    <t>was satisfied with the new hat</t>
  </si>
  <si>
    <t>Choice A is the correct answer because it accurately reflects the teacher’s reaction, as described in the passage. The passage shows the teacher initially angry at the student’s plan to flatter officials with “high hats,” but when the student flatters him by suggesting he is above flattery, the teacher smiles and nods, “with one of the student’s ‘high hats’ on,” indicating he enjoys the flattery. Choice A, “liked to be flattered as well,” aligns with this, showing the teacher’s acceptance of the student’s flattery despite his initial objection.</t>
  </si>
  <si>
    <t>A: complimented the student on his self-awareness and appreciation of the vulgarity of the world, and offered him one of his high hats as a token of his appreciation.
 ’[</t>
  </si>
  <si>
    <t>Answered blank directly instead of reasoning through question.</t>
  </si>
  <si>
    <t>Chooses the correct answer, shallow reasoning</t>
  </si>
  <si>
    <t>talks abt high hat but no reasoning</t>
  </si>
  <si>
    <t>ROUGE 1 F1 Average for 30Q</t>
  </si>
  <si>
    <t>ROUGE 2 F1 Average for 30Q</t>
  </si>
  <si>
    <t>ROUGE L F1 Average for 30Q</t>
  </si>
  <si>
    <t>Raceh_ft_v3</t>
  </si>
  <si>
    <t>satact_ft_v3 for RACEH dataset</t>
  </si>
  <si>
    <t>BERTScore Average for 15Q</t>
  </si>
  <si>
    <t>satact_ft_v3 for SAT ACT dataset</t>
  </si>
  <si>
    <t>ROUGE 1 F1 Average for 15Q</t>
  </si>
  <si>
    <t>ROUGE 2 F1 Average for 15Q</t>
  </si>
  <si>
    <t>ROUGE L F1 Average for 15Q</t>
  </si>
  <si>
    <t>Average score of 4 evaluators</t>
  </si>
  <si>
    <t>(Sum of all scores by 4 evaluators)/(number of Qs * Numberof evaluators)</t>
  </si>
  <si>
    <t>Sum of all scores</t>
  </si>
  <si>
    <t>denominator</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</si>
</sst>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b/>
      <sz val="11.0"/>
      <color rgb="FF000000"/>
      <name val="&quot;Aptos Narrow&quot;"/>
    </font>
    <font>
      <b/>
      <color theme="1"/>
      <name val="Arial"/>
    </font>
    <font>
      <color theme="1"/>
      <name val="Arial"/>
      <scheme val="minor"/>
    </font>
    <font>
      <sz val="11.0"/>
      <color rgb="FF000000"/>
      <name val="Calibri"/>
    </font>
    <font>
      <sz val="11.0"/>
      <color rgb="FF000000"/>
      <name val="Arial"/>
    </font>
    <font>
      <sz val="11.0"/>
      <color rgb="FF000000"/>
      <name val="&quot;Aptos Narrow&quot;"/>
    </font>
    <font>
      <color theme="1"/>
      <name val="Arial"/>
    </font>
    <font>
      <sz val="11.0"/>
      <color theme="1"/>
      <name val="Calibri"/>
    </font>
    <font>
      <sz val="10.0"/>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bottom" wrapText="0"/>
    </xf>
    <xf borderId="0" fillId="0" fontId="1" numFmtId="0" xfId="0" applyAlignment="1" applyFont="1">
      <alignment shrinkToFit="0" wrapText="0"/>
    </xf>
    <xf borderId="0" fillId="0" fontId="1" numFmtId="0" xfId="0" applyAlignment="1" applyFont="1">
      <alignment readingOrder="0"/>
    </xf>
    <xf borderId="0" fillId="0" fontId="3" numFmtId="0" xfId="0" applyAlignment="1" applyFont="1">
      <alignment vertical="bottom"/>
    </xf>
    <xf borderId="0" fillId="0" fontId="1" numFmtId="0" xfId="0" applyFont="1"/>
    <xf borderId="0" fillId="0" fontId="4" numFmtId="0" xfId="0" applyFont="1"/>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4" numFmtId="0" xfId="0" applyAlignment="1" applyFont="1">
      <alignment readingOrder="0"/>
    </xf>
    <xf borderId="0" fillId="0" fontId="7" numFmtId="0" xfId="0" applyAlignment="1" applyFont="1">
      <alignment readingOrder="0" shrinkToFit="0" vertical="bottom" wrapText="0"/>
    </xf>
    <xf borderId="0" fillId="0" fontId="4" numFmtId="0" xfId="0" applyAlignment="1" applyFont="1">
      <alignment readingOrder="0" shrinkToFit="0" wrapText="0"/>
    </xf>
    <xf borderId="0" fillId="0" fontId="8" numFmtId="0" xfId="0" applyAlignment="1" applyFont="1">
      <alignment horizontal="right" vertical="bottom"/>
    </xf>
    <xf borderId="0" fillId="0" fontId="9" numFmtId="0" xfId="0" applyAlignment="1" applyFont="1">
      <alignment horizontal="right" shrinkToFit="0" vertical="bottom" wrapText="0"/>
    </xf>
    <xf borderId="0" fillId="0" fontId="7" numFmtId="0" xfId="0" applyAlignment="1" applyFont="1">
      <alignment readingOrder="0" shrinkToFit="0" vertical="bottom" wrapText="0"/>
    </xf>
    <xf borderId="0" fillId="2" fontId="10" numFmtId="0" xfId="0" applyAlignment="1" applyFill="1" applyFont="1">
      <alignment readingOrder="0"/>
    </xf>
    <xf borderId="0" fillId="0" fontId="8" numFmtId="0" xfId="0" applyAlignment="1" applyFont="1">
      <alignment vertical="bottom"/>
    </xf>
    <xf borderId="1" fillId="0" fontId="3" numFmtId="0" xfId="0" applyAlignment="1" applyBorder="1" applyFont="1">
      <alignment vertical="bottom"/>
    </xf>
    <xf borderId="1" fillId="0" fontId="8" numFmtId="0" xfId="0" applyAlignment="1" applyBorder="1" applyFont="1">
      <alignment vertical="bottom"/>
    </xf>
    <xf borderId="1" fillId="0" fontId="3" numFmtId="0" xfId="0" applyAlignment="1" applyBorder="1" applyFont="1">
      <alignment horizontal="righ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75"/>
  </cols>
  <sheetData>
    <row r="1">
      <c r="A1" s="1" t="s">
        <v>0</v>
      </c>
      <c r="B1" s="1" t="s">
        <v>2</v>
      </c>
      <c r="C1" s="1" t="s">
        <v>3</v>
      </c>
      <c r="D1" s="1" t="s">
        <v>4</v>
      </c>
      <c r="E1" s="1" t="s">
        <v>5</v>
      </c>
      <c r="F1" s="1" t="s">
        <v>7</v>
      </c>
      <c r="G1" s="1" t="s">
        <v>8</v>
      </c>
      <c r="H1" s="1" t="s">
        <v>10</v>
      </c>
      <c r="I1" s="1" t="s">
        <v>11</v>
      </c>
      <c r="J1" s="1" t="s">
        <v>13</v>
      </c>
      <c r="K1" s="1" t="s">
        <v>14</v>
      </c>
      <c r="L1" s="4" t="s">
        <v>17</v>
      </c>
      <c r="M1" s="4" t="s">
        <v>18</v>
      </c>
      <c r="N1" s="4" t="s">
        <v>19</v>
      </c>
      <c r="O1" s="4" t="s">
        <v>20</v>
      </c>
      <c r="P1" s="4" t="s">
        <v>21</v>
      </c>
      <c r="Q1" s="4" t="s">
        <v>22</v>
      </c>
      <c r="R1" s="4" t="s">
        <v>23</v>
      </c>
      <c r="S1" s="4" t="s">
        <v>24</v>
      </c>
      <c r="T1" s="5" t="s">
        <v>25</v>
      </c>
      <c r="U1" s="5" t="s">
        <v>26</v>
      </c>
      <c r="V1" s="5" t="s">
        <v>27</v>
      </c>
      <c r="W1" s="5" t="s">
        <v>28</v>
      </c>
      <c r="X1" s="6"/>
      <c r="Y1" s="6"/>
      <c r="Z1" s="6"/>
    </row>
    <row r="2">
      <c r="A2" s="7" t="s">
        <v>29</v>
      </c>
      <c r="B2" s="7" t="s">
        <v>30</v>
      </c>
      <c r="C2" s="7" t="s">
        <v>32</v>
      </c>
      <c r="D2" s="7" t="s">
        <v>33</v>
      </c>
      <c r="E2" s="7" t="s">
        <v>34</v>
      </c>
      <c r="F2" s="7" t="s">
        <v>36</v>
      </c>
      <c r="G2" s="7" t="s">
        <v>38</v>
      </c>
      <c r="H2" s="7" t="s">
        <v>41</v>
      </c>
      <c r="I2" s="7" t="s">
        <v>43</v>
      </c>
      <c r="J2" s="7" t="s">
        <v>44</v>
      </c>
      <c r="K2" s="7" t="s">
        <v>45</v>
      </c>
      <c r="L2" s="10">
        <v>3.0</v>
      </c>
      <c r="M2" s="10" t="s">
        <v>48</v>
      </c>
      <c r="N2" s="10">
        <v>3.0</v>
      </c>
      <c r="O2" s="10" t="s">
        <v>49</v>
      </c>
      <c r="P2" s="10">
        <v>3.0</v>
      </c>
      <c r="Q2" s="10" t="s">
        <v>50</v>
      </c>
      <c r="R2" s="10">
        <v>3.0</v>
      </c>
      <c r="S2" s="10" t="s">
        <v>52</v>
      </c>
      <c r="T2" s="13">
        <v>0.51</v>
      </c>
      <c r="U2" s="13">
        <v>0.226</v>
      </c>
      <c r="V2" s="13">
        <v>0.019</v>
      </c>
      <c r="W2" s="13">
        <v>0.151</v>
      </c>
    </row>
    <row r="3">
      <c r="A3" s="7" t="s">
        <v>56</v>
      </c>
      <c r="B3" s="7" t="s">
        <v>57</v>
      </c>
      <c r="C3" s="7" t="s">
        <v>58</v>
      </c>
      <c r="D3" s="7" t="s">
        <v>59</v>
      </c>
      <c r="E3" s="7" t="s">
        <v>60</v>
      </c>
      <c r="F3" s="7" t="s">
        <v>61</v>
      </c>
      <c r="G3" s="7" t="s">
        <v>62</v>
      </c>
      <c r="H3" s="7" t="s">
        <v>64</v>
      </c>
      <c r="I3" s="7" t="s">
        <v>66</v>
      </c>
      <c r="J3" s="7" t="s">
        <v>44</v>
      </c>
      <c r="K3" s="7" t="s">
        <v>69</v>
      </c>
      <c r="L3" s="10">
        <v>2.0</v>
      </c>
      <c r="M3" s="10" t="s">
        <v>72</v>
      </c>
      <c r="N3" s="10">
        <v>2.0</v>
      </c>
      <c r="O3" s="10" t="s">
        <v>74</v>
      </c>
      <c r="P3" s="10">
        <v>2.0</v>
      </c>
      <c r="Q3" s="10" t="s">
        <v>76</v>
      </c>
      <c r="R3" s="10">
        <v>2.0</v>
      </c>
      <c r="S3" s="10" t="s">
        <v>77</v>
      </c>
      <c r="T3" s="13">
        <v>0.521</v>
      </c>
      <c r="U3" s="13">
        <v>0.311</v>
      </c>
      <c r="V3" s="13">
        <v>0.04</v>
      </c>
      <c r="W3" s="13">
        <v>0.194</v>
      </c>
    </row>
    <row r="4">
      <c r="A4" s="7" t="s">
        <v>81</v>
      </c>
      <c r="B4" s="7" t="s">
        <v>83</v>
      </c>
      <c r="C4" s="7" t="s">
        <v>84</v>
      </c>
      <c r="D4" s="7" t="s">
        <v>85</v>
      </c>
      <c r="E4" s="7" t="s">
        <v>86</v>
      </c>
      <c r="F4" s="7" t="s">
        <v>88</v>
      </c>
      <c r="G4" s="7" t="s">
        <v>90</v>
      </c>
      <c r="H4" s="7" t="s">
        <v>92</v>
      </c>
      <c r="I4" s="7" t="s">
        <v>95</v>
      </c>
      <c r="J4" s="7" t="s">
        <v>44</v>
      </c>
      <c r="K4" s="7" t="s">
        <v>69</v>
      </c>
      <c r="L4" s="10">
        <v>3.0</v>
      </c>
      <c r="M4" s="10" t="s">
        <v>98</v>
      </c>
      <c r="N4" s="10">
        <v>4.0</v>
      </c>
      <c r="O4" s="10" t="s">
        <v>100</v>
      </c>
      <c r="P4" s="10">
        <v>3.0</v>
      </c>
      <c r="Q4" s="10" t="s">
        <v>102</v>
      </c>
      <c r="R4" s="10">
        <v>4.0</v>
      </c>
      <c r="S4" s="10" t="s">
        <v>104</v>
      </c>
      <c r="T4" s="13">
        <v>0.461</v>
      </c>
      <c r="U4" s="13">
        <v>0.144</v>
      </c>
      <c r="V4" s="13">
        <v>0.0</v>
      </c>
      <c r="W4" s="13">
        <v>0.09</v>
      </c>
    </row>
    <row r="5">
      <c r="A5" s="10" t="s">
        <v>107</v>
      </c>
      <c r="B5" s="10" t="s">
        <v>30</v>
      </c>
      <c r="C5" s="10" t="s">
        <v>111</v>
      </c>
      <c r="D5" s="10" t="s">
        <v>114</v>
      </c>
      <c r="E5" s="10" t="s">
        <v>116</v>
      </c>
      <c r="F5" s="10" t="s">
        <v>118</v>
      </c>
      <c r="G5" s="10" t="s">
        <v>38</v>
      </c>
      <c r="H5" s="10" t="s">
        <v>120</v>
      </c>
      <c r="I5" s="10" t="s">
        <v>121</v>
      </c>
      <c r="J5" s="10" t="s">
        <v>44</v>
      </c>
      <c r="K5" s="10" t="s">
        <v>45</v>
      </c>
      <c r="L5" s="10">
        <v>3.0</v>
      </c>
      <c r="M5" s="10" t="s">
        <v>122</v>
      </c>
      <c r="N5" s="10">
        <v>3.0</v>
      </c>
      <c r="O5" s="10" t="s">
        <v>123</v>
      </c>
      <c r="P5" s="10">
        <v>3.0</v>
      </c>
      <c r="Q5" s="10" t="s">
        <v>124</v>
      </c>
      <c r="R5" s="10">
        <v>5.0</v>
      </c>
      <c r="S5" s="10" t="s">
        <v>126</v>
      </c>
      <c r="T5" s="13">
        <v>0.539</v>
      </c>
      <c r="U5" s="13">
        <v>0.325</v>
      </c>
      <c r="V5" s="13">
        <v>0.05</v>
      </c>
      <c r="W5" s="13">
        <v>0.211</v>
      </c>
    </row>
    <row r="6">
      <c r="A6" s="7" t="s">
        <v>129</v>
      </c>
      <c r="B6" s="7" t="s">
        <v>130</v>
      </c>
      <c r="C6" s="7" t="s">
        <v>131</v>
      </c>
      <c r="D6" s="7" t="s">
        <v>132</v>
      </c>
      <c r="E6" s="7" t="s">
        <v>133</v>
      </c>
      <c r="F6" s="7" t="s">
        <v>134</v>
      </c>
      <c r="G6" s="7" t="s">
        <v>135</v>
      </c>
      <c r="H6" s="7" t="s">
        <v>137</v>
      </c>
      <c r="I6" s="7" t="s">
        <v>138</v>
      </c>
      <c r="J6" s="7" t="s">
        <v>139</v>
      </c>
      <c r="K6" s="7" t="s">
        <v>69</v>
      </c>
      <c r="L6" s="10">
        <v>2.0</v>
      </c>
      <c r="M6" s="10" t="s">
        <v>140</v>
      </c>
      <c r="N6" s="10">
        <v>2.0</v>
      </c>
      <c r="O6" s="10" t="s">
        <v>141</v>
      </c>
      <c r="P6" s="10">
        <v>2.0</v>
      </c>
      <c r="Q6" s="10" t="s">
        <v>143</v>
      </c>
      <c r="R6" s="10">
        <v>3.0</v>
      </c>
      <c r="S6" s="10" t="s">
        <v>144</v>
      </c>
      <c r="T6" s="13">
        <v>0.503</v>
      </c>
      <c r="U6" s="13">
        <v>0.184</v>
      </c>
      <c r="V6" s="13">
        <v>0.042</v>
      </c>
      <c r="W6" s="13">
        <v>0.122</v>
      </c>
    </row>
    <row r="7">
      <c r="A7" s="7" t="s">
        <v>149</v>
      </c>
      <c r="B7" s="7" t="s">
        <v>130</v>
      </c>
      <c r="C7" s="7" t="s">
        <v>151</v>
      </c>
      <c r="D7" s="7" t="s">
        <v>152</v>
      </c>
      <c r="E7" s="7" t="s">
        <v>153</v>
      </c>
      <c r="F7" s="7" t="s">
        <v>155</v>
      </c>
      <c r="G7" s="7" t="s">
        <v>62</v>
      </c>
      <c r="H7" s="7" t="s">
        <v>157</v>
      </c>
      <c r="I7" s="7" t="s">
        <v>158</v>
      </c>
      <c r="J7" s="7" t="s">
        <v>139</v>
      </c>
      <c r="K7" s="7" t="s">
        <v>69</v>
      </c>
      <c r="L7" s="10">
        <v>4.0</v>
      </c>
      <c r="M7" s="10" t="s">
        <v>159</v>
      </c>
      <c r="N7" s="10">
        <v>3.0</v>
      </c>
      <c r="O7" s="10" t="s">
        <v>161</v>
      </c>
      <c r="P7" s="10">
        <v>4.0</v>
      </c>
      <c r="Q7" s="10" t="s">
        <v>162</v>
      </c>
      <c r="R7" s="10">
        <v>1.0</v>
      </c>
      <c r="S7" s="10" t="s">
        <v>164</v>
      </c>
      <c r="T7" s="13">
        <v>0.556</v>
      </c>
      <c r="U7" s="13">
        <v>0.306</v>
      </c>
      <c r="V7" s="13">
        <v>0.052</v>
      </c>
      <c r="W7" s="13">
        <v>0.204</v>
      </c>
    </row>
    <row r="8">
      <c r="A8" s="7" t="s">
        <v>167</v>
      </c>
      <c r="B8" s="7" t="s">
        <v>168</v>
      </c>
      <c r="C8" s="7" t="s">
        <v>169</v>
      </c>
      <c r="D8" s="7" t="s">
        <v>170</v>
      </c>
      <c r="E8" s="7" t="s">
        <v>171</v>
      </c>
      <c r="F8" s="7" t="s">
        <v>172</v>
      </c>
      <c r="G8" s="7" t="s">
        <v>38</v>
      </c>
      <c r="H8" s="7" t="s">
        <v>173</v>
      </c>
      <c r="I8" s="7" t="s">
        <v>175</v>
      </c>
      <c r="J8" s="7" t="s">
        <v>139</v>
      </c>
      <c r="K8" s="7" t="s">
        <v>45</v>
      </c>
      <c r="L8" s="10">
        <v>3.0</v>
      </c>
      <c r="M8" s="10" t="s">
        <v>178</v>
      </c>
      <c r="N8" s="10">
        <v>3.0</v>
      </c>
      <c r="O8" s="10" t="s">
        <v>181</v>
      </c>
      <c r="P8" s="10">
        <v>3.0</v>
      </c>
      <c r="Q8" s="10" t="s">
        <v>183</v>
      </c>
      <c r="R8" s="10">
        <v>2.0</v>
      </c>
      <c r="S8" s="10" t="s">
        <v>185</v>
      </c>
      <c r="T8" s="13">
        <v>0.527</v>
      </c>
      <c r="U8" s="13">
        <v>0.351</v>
      </c>
      <c r="V8" s="13">
        <v>0.036</v>
      </c>
      <c r="W8" s="13">
        <v>0.281</v>
      </c>
    </row>
    <row r="9">
      <c r="A9" s="7" t="s">
        <v>187</v>
      </c>
      <c r="B9" s="7" t="s">
        <v>168</v>
      </c>
      <c r="C9" s="7" t="s">
        <v>189</v>
      </c>
      <c r="D9" s="7" t="s">
        <v>191</v>
      </c>
      <c r="E9" s="7" t="s">
        <v>192</v>
      </c>
      <c r="F9" s="7" t="s">
        <v>194</v>
      </c>
      <c r="G9" s="7" t="s">
        <v>135</v>
      </c>
      <c r="H9" s="7" t="s">
        <v>196</v>
      </c>
      <c r="I9" s="7" t="s">
        <v>197</v>
      </c>
      <c r="J9" s="7" t="s">
        <v>139</v>
      </c>
      <c r="K9" s="7" t="s">
        <v>69</v>
      </c>
      <c r="L9" s="10">
        <v>3.0</v>
      </c>
      <c r="M9" s="10" t="s">
        <v>198</v>
      </c>
      <c r="N9" s="10">
        <v>2.0</v>
      </c>
      <c r="O9" s="10" t="s">
        <v>199</v>
      </c>
      <c r="P9" s="10">
        <v>0.0</v>
      </c>
      <c r="Q9" s="10" t="s">
        <v>200</v>
      </c>
      <c r="R9" s="10">
        <v>0.0</v>
      </c>
      <c r="S9" s="10" t="s">
        <v>202</v>
      </c>
      <c r="T9" s="13">
        <v>0.521</v>
      </c>
      <c r="U9" s="13">
        <v>0.31</v>
      </c>
      <c r="V9" s="13">
        <v>0.029</v>
      </c>
      <c r="W9" s="13">
        <v>0.197</v>
      </c>
    </row>
    <row r="10">
      <c r="A10" s="7" t="s">
        <v>206</v>
      </c>
      <c r="B10" s="7" t="s">
        <v>168</v>
      </c>
      <c r="C10" s="7" t="s">
        <v>209</v>
      </c>
      <c r="D10" s="7" t="s">
        <v>210</v>
      </c>
      <c r="E10" s="7" t="s">
        <v>211</v>
      </c>
      <c r="F10" s="7" t="s">
        <v>212</v>
      </c>
      <c r="G10" s="7" t="s">
        <v>38</v>
      </c>
      <c r="H10" s="7" t="s">
        <v>214</v>
      </c>
      <c r="I10" s="7" t="s">
        <v>216</v>
      </c>
      <c r="J10" s="7" t="s">
        <v>139</v>
      </c>
      <c r="K10" s="7" t="s">
        <v>45</v>
      </c>
      <c r="L10" s="10">
        <v>5.0</v>
      </c>
      <c r="M10" s="10" t="s">
        <v>217</v>
      </c>
      <c r="N10" s="10">
        <v>3.0</v>
      </c>
      <c r="O10" s="10" t="s">
        <v>218</v>
      </c>
      <c r="P10" s="10">
        <v>2.0</v>
      </c>
      <c r="Q10" s="10" t="s">
        <v>220</v>
      </c>
      <c r="R10" s="10">
        <v>1.0</v>
      </c>
      <c r="S10" s="10" t="s">
        <v>222</v>
      </c>
      <c r="T10" s="13">
        <v>0.546</v>
      </c>
      <c r="U10" s="13">
        <v>0.292</v>
      </c>
      <c r="V10" s="13">
        <v>0.053</v>
      </c>
      <c r="W10" s="13">
        <v>0.208</v>
      </c>
    </row>
    <row r="11">
      <c r="A11" s="7" t="s">
        <v>225</v>
      </c>
      <c r="B11" s="7" t="s">
        <v>168</v>
      </c>
      <c r="C11" s="7" t="s">
        <v>226</v>
      </c>
      <c r="D11" s="7" t="s">
        <v>227</v>
      </c>
      <c r="E11" s="7" t="s">
        <v>228</v>
      </c>
      <c r="F11" s="7" t="s">
        <v>229</v>
      </c>
      <c r="G11" s="7" t="s">
        <v>135</v>
      </c>
      <c r="H11" s="7" t="s">
        <v>231</v>
      </c>
      <c r="I11" s="7" t="s">
        <v>233</v>
      </c>
      <c r="J11" s="7" t="s">
        <v>139</v>
      </c>
      <c r="K11" s="7" t="s">
        <v>69</v>
      </c>
      <c r="L11" s="10">
        <v>4.0</v>
      </c>
      <c r="M11" s="10" t="s">
        <v>237</v>
      </c>
      <c r="N11" s="10">
        <v>2.0</v>
      </c>
      <c r="O11" s="10" t="s">
        <v>218</v>
      </c>
      <c r="P11" s="10">
        <v>0.0</v>
      </c>
      <c r="Q11" s="10" t="s">
        <v>200</v>
      </c>
      <c r="R11" s="10">
        <v>0.0</v>
      </c>
      <c r="S11" s="10" t="s">
        <v>240</v>
      </c>
      <c r="T11" s="13">
        <v>0.514</v>
      </c>
      <c r="U11" s="13">
        <v>0.211</v>
      </c>
      <c r="V11" s="13">
        <v>0.022</v>
      </c>
      <c r="W11" s="13">
        <v>0.168</v>
      </c>
    </row>
    <row r="12">
      <c r="A12" s="7" t="s">
        <v>242</v>
      </c>
      <c r="B12" s="7" t="s">
        <v>243</v>
      </c>
      <c r="C12" s="7" t="s">
        <v>244</v>
      </c>
      <c r="D12" s="7" t="s">
        <v>245</v>
      </c>
      <c r="E12" s="7" t="s">
        <v>246</v>
      </c>
      <c r="F12" s="7" t="s">
        <v>247</v>
      </c>
      <c r="G12" s="7" t="s">
        <v>90</v>
      </c>
      <c r="H12" s="7" t="s">
        <v>248</v>
      </c>
      <c r="I12" s="7" t="s">
        <v>249</v>
      </c>
      <c r="J12" s="7" t="s">
        <v>139</v>
      </c>
      <c r="K12" s="7" t="s">
        <v>69</v>
      </c>
      <c r="L12" s="10">
        <v>3.0</v>
      </c>
      <c r="M12" s="10" t="s">
        <v>251</v>
      </c>
      <c r="N12" s="10">
        <v>1.0</v>
      </c>
      <c r="O12" s="10" t="s">
        <v>253</v>
      </c>
      <c r="P12" s="10">
        <v>0.0</v>
      </c>
      <c r="Q12" s="10" t="s">
        <v>254</v>
      </c>
      <c r="R12" s="10">
        <v>0.0</v>
      </c>
      <c r="S12" s="10" t="s">
        <v>240</v>
      </c>
      <c r="T12" s="13">
        <v>0.541</v>
      </c>
      <c r="U12" s="13">
        <v>0.281</v>
      </c>
      <c r="V12" s="13">
        <v>0.032</v>
      </c>
      <c r="W12" s="13">
        <v>0.188</v>
      </c>
    </row>
    <row r="13">
      <c r="A13" s="7" t="s">
        <v>257</v>
      </c>
      <c r="B13" s="7" t="s">
        <v>258</v>
      </c>
      <c r="C13" s="7" t="s">
        <v>259</v>
      </c>
      <c r="D13" s="7" t="s">
        <v>260</v>
      </c>
      <c r="E13" s="7" t="s">
        <v>261</v>
      </c>
      <c r="F13" s="7" t="s">
        <v>268</v>
      </c>
      <c r="G13" s="7" t="s">
        <v>38</v>
      </c>
      <c r="H13" s="7" t="s">
        <v>270</v>
      </c>
      <c r="I13" s="7" t="s">
        <v>271</v>
      </c>
      <c r="J13" s="7" t="s">
        <v>139</v>
      </c>
      <c r="K13" s="7" t="s">
        <v>45</v>
      </c>
      <c r="L13" s="10">
        <v>4.0</v>
      </c>
      <c r="M13" s="10" t="s">
        <v>273</v>
      </c>
      <c r="N13" s="10">
        <v>0.0</v>
      </c>
      <c r="O13" s="10" t="s">
        <v>275</v>
      </c>
      <c r="P13" s="10">
        <v>0.0</v>
      </c>
      <c r="Q13" s="10" t="s">
        <v>254</v>
      </c>
      <c r="R13" s="10">
        <v>0.0</v>
      </c>
      <c r="S13" s="10" t="s">
        <v>240</v>
      </c>
      <c r="T13" s="13">
        <v>0.526</v>
      </c>
      <c r="U13" s="13">
        <v>0.375</v>
      </c>
      <c r="V13" s="13">
        <v>0.078</v>
      </c>
      <c r="W13" s="13">
        <v>0.229</v>
      </c>
    </row>
    <row r="14">
      <c r="A14" s="7" t="s">
        <v>279</v>
      </c>
      <c r="B14" s="7" t="s">
        <v>280</v>
      </c>
      <c r="C14" s="7" t="s">
        <v>281</v>
      </c>
      <c r="D14" s="7" t="s">
        <v>282</v>
      </c>
      <c r="E14" s="7" t="s">
        <v>283</v>
      </c>
      <c r="F14" s="7" t="s">
        <v>284</v>
      </c>
      <c r="G14" s="7" t="s">
        <v>135</v>
      </c>
      <c r="H14" s="7" t="s">
        <v>288</v>
      </c>
      <c r="I14" s="7" t="s">
        <v>290</v>
      </c>
      <c r="J14" s="7" t="s">
        <v>291</v>
      </c>
      <c r="K14" s="7" t="s">
        <v>69</v>
      </c>
      <c r="L14" s="10">
        <v>1.0</v>
      </c>
      <c r="M14" s="10" t="s">
        <v>292</v>
      </c>
      <c r="N14" s="10">
        <v>3.0</v>
      </c>
      <c r="O14" s="10" t="s">
        <v>199</v>
      </c>
      <c r="P14" s="10">
        <v>3.0</v>
      </c>
      <c r="Q14" s="10" t="s">
        <v>293</v>
      </c>
      <c r="R14" s="10">
        <v>3.0</v>
      </c>
      <c r="S14" s="10" t="s">
        <v>294</v>
      </c>
      <c r="T14" s="13">
        <v>0.457</v>
      </c>
      <c r="U14" s="13">
        <v>0.232</v>
      </c>
      <c r="V14" s="13">
        <v>0.015</v>
      </c>
      <c r="W14" s="13">
        <v>0.145</v>
      </c>
    </row>
    <row r="15">
      <c r="A15" s="7" t="s">
        <v>296</v>
      </c>
      <c r="B15" s="7" t="s">
        <v>298</v>
      </c>
      <c r="C15" s="7" t="s">
        <v>299</v>
      </c>
      <c r="D15" s="7" t="s">
        <v>300</v>
      </c>
      <c r="E15" s="7" t="s">
        <v>302</v>
      </c>
      <c r="F15" s="7" t="s">
        <v>303</v>
      </c>
      <c r="G15" s="7" t="s">
        <v>38</v>
      </c>
      <c r="H15" s="7" t="s">
        <v>305</v>
      </c>
      <c r="I15" s="7" t="s">
        <v>306</v>
      </c>
      <c r="J15" s="7" t="s">
        <v>291</v>
      </c>
      <c r="K15" s="7" t="s">
        <v>45</v>
      </c>
      <c r="L15" s="10">
        <v>4.0</v>
      </c>
      <c r="M15" s="10" t="s">
        <v>309</v>
      </c>
      <c r="N15" s="10">
        <v>4.0</v>
      </c>
      <c r="O15" s="10" t="s">
        <v>310</v>
      </c>
      <c r="P15" s="10">
        <v>4.0</v>
      </c>
      <c r="Q15" s="10" t="s">
        <v>312</v>
      </c>
      <c r="R15" s="10">
        <v>4.0</v>
      </c>
      <c r="S15" s="10" t="s">
        <v>313</v>
      </c>
      <c r="T15" s="13">
        <v>0.565</v>
      </c>
      <c r="U15" s="13">
        <v>0.298</v>
      </c>
      <c r="V15" s="13">
        <v>0.065</v>
      </c>
      <c r="W15" s="13">
        <v>0.213</v>
      </c>
    </row>
    <row r="16">
      <c r="A16" s="7" t="s">
        <v>317</v>
      </c>
      <c r="B16" s="7" t="s">
        <v>319</v>
      </c>
      <c r="C16" s="7" t="s">
        <v>321</v>
      </c>
      <c r="D16" s="7" t="s">
        <v>323</v>
      </c>
      <c r="E16" s="7" t="s">
        <v>324</v>
      </c>
      <c r="F16" s="7" t="s">
        <v>325</v>
      </c>
      <c r="G16" s="7" t="s">
        <v>90</v>
      </c>
      <c r="H16" s="7" t="s">
        <v>327</v>
      </c>
      <c r="I16" s="7" t="s">
        <v>329</v>
      </c>
      <c r="J16" s="7" t="s">
        <v>291</v>
      </c>
      <c r="K16" s="7" t="s">
        <v>69</v>
      </c>
      <c r="L16" s="10">
        <v>1.0</v>
      </c>
      <c r="M16" s="10" t="s">
        <v>331</v>
      </c>
      <c r="N16" s="10">
        <v>4.0</v>
      </c>
      <c r="O16" s="10" t="s">
        <v>333</v>
      </c>
      <c r="P16" s="10">
        <v>3.0</v>
      </c>
      <c r="Q16" s="10" t="s">
        <v>334</v>
      </c>
      <c r="R16" s="10">
        <v>3.0</v>
      </c>
      <c r="S16" s="10" t="s">
        <v>336</v>
      </c>
      <c r="T16" s="13">
        <v>0.516</v>
      </c>
      <c r="U16" s="13">
        <v>0.224</v>
      </c>
      <c r="V16" s="13">
        <v>0.033</v>
      </c>
      <c r="W16" s="13">
        <v>0.128</v>
      </c>
    </row>
    <row r="17">
      <c r="A17" s="17" t="s">
        <v>337</v>
      </c>
      <c r="M17" s="10" t="s">
        <v>341</v>
      </c>
      <c r="T17" s="13">
        <f t="shared" ref="T17:W17" si="1">AVERAGE(T2:T16)</f>
        <v>0.5202</v>
      </c>
      <c r="U17" s="13">
        <f t="shared" si="1"/>
        <v>0.2713333333</v>
      </c>
      <c r="V17" s="13">
        <f t="shared" si="1"/>
        <v>0.03773333333</v>
      </c>
      <c r="W17" s="13">
        <f t="shared" si="1"/>
        <v>0.1819333333</v>
      </c>
    </row>
    <row r="18">
      <c r="A18" s="17" t="s">
        <v>353</v>
      </c>
      <c r="T18" s="13">
        <f t="shared" ref="T18:W18" si="2">MAX(T2:T16)</f>
        <v>0.565</v>
      </c>
      <c r="U18" s="13">
        <f t="shared" si="2"/>
        <v>0.375</v>
      </c>
      <c r="V18" s="13">
        <f t="shared" si="2"/>
        <v>0.078</v>
      </c>
      <c r="W18" s="13">
        <f t="shared" si="2"/>
        <v>0.281</v>
      </c>
    </row>
    <row r="19">
      <c r="A19" s="17" t="s">
        <v>360</v>
      </c>
      <c r="T19" s="13">
        <f t="shared" ref="T19:W19" si="3">MIN(T2:T16)</f>
        <v>0.457</v>
      </c>
      <c r="U19" s="13">
        <f t="shared" si="3"/>
        <v>0.144</v>
      </c>
      <c r="V19" s="13">
        <f t="shared" si="3"/>
        <v>0</v>
      </c>
      <c r="W19" s="13">
        <f t="shared" si="3"/>
        <v>0.09</v>
      </c>
    </row>
    <row r="20">
      <c r="T20" s="17"/>
      <c r="U20" s="17"/>
      <c r="V20" s="17"/>
      <c r="W20" s="17"/>
    </row>
    <row r="21">
      <c r="T21" s="17"/>
      <c r="U21" s="17"/>
      <c r="V21" s="17"/>
      <c r="W21" s="17"/>
    </row>
    <row r="22">
      <c r="T22" s="17"/>
      <c r="U22" s="17"/>
      <c r="V22" s="17"/>
      <c r="W22" s="17"/>
    </row>
    <row r="23">
      <c r="T23" s="17"/>
      <c r="U23" s="17"/>
      <c r="V23" s="17"/>
      <c r="W23" s="17"/>
    </row>
    <row r="24">
      <c r="T24" s="18" t="s">
        <v>373</v>
      </c>
      <c r="U24" s="19"/>
      <c r="V24" s="19"/>
      <c r="W24" s="17"/>
    </row>
    <row r="25">
      <c r="T25" s="18" t="s">
        <v>376</v>
      </c>
      <c r="U25" s="20">
        <f>Average(T2:T16,'RACE-H_15Qs'!T2:T16)</f>
        <v>0.5178666667</v>
      </c>
      <c r="V25" s="20">
        <f t="shared" ref="V25:V28" si="4">round(U25,2)</f>
        <v>0.52</v>
      </c>
      <c r="W25" s="17"/>
    </row>
    <row r="26">
      <c r="T26" s="18" t="s">
        <v>388</v>
      </c>
      <c r="U26" s="20">
        <f>Average(U2:U16,'RACE-H_15Qs'!U2:U16)</f>
        <v>0.2733666667</v>
      </c>
      <c r="V26" s="20">
        <f t="shared" si="4"/>
        <v>0.27</v>
      </c>
      <c r="W26" s="17"/>
    </row>
    <row r="27">
      <c r="T27" s="18" t="s">
        <v>389</v>
      </c>
      <c r="U27" s="20">
        <f>Average(V2:V16,'RACE-H_15Qs'!V2:V16)</f>
        <v>0.04426666667</v>
      </c>
      <c r="V27" s="20">
        <f t="shared" si="4"/>
        <v>0.04</v>
      </c>
      <c r="W27" s="17"/>
    </row>
    <row r="28">
      <c r="T28" s="18" t="s">
        <v>390</v>
      </c>
      <c r="U28" s="20">
        <f>Average(W2:W16,'RACE-H_15Qs'!W2:W16)</f>
        <v>0.1755333333</v>
      </c>
      <c r="V28" s="20">
        <f t="shared" si="4"/>
        <v>0.18</v>
      </c>
      <c r="W28" s="17"/>
    </row>
    <row r="29">
      <c r="T29" s="17"/>
      <c r="U29" s="17"/>
      <c r="V29" s="17"/>
      <c r="W29" s="17"/>
    </row>
    <row r="30">
      <c r="T30" s="18" t="s">
        <v>391</v>
      </c>
      <c r="U30" s="19"/>
      <c r="V30" s="19"/>
      <c r="W30" s="17"/>
    </row>
    <row r="31">
      <c r="T31" s="18" t="s">
        <v>376</v>
      </c>
      <c r="U31" s="20">
        <v>0.5059</v>
      </c>
      <c r="V31" s="20">
        <f t="shared" ref="V31:V34" si="5">round(U31,2)</f>
        <v>0.51</v>
      </c>
      <c r="W31" s="17"/>
    </row>
    <row r="32">
      <c r="T32" s="18" t="s">
        <v>388</v>
      </c>
      <c r="U32" s="20">
        <v>0.2542333333</v>
      </c>
      <c r="V32" s="20">
        <f t="shared" si="5"/>
        <v>0.25</v>
      </c>
      <c r="W32" s="17"/>
    </row>
    <row r="33">
      <c r="T33" s="18" t="s">
        <v>389</v>
      </c>
      <c r="U33" s="20">
        <v>0.06883333333</v>
      </c>
      <c r="V33" s="20">
        <f t="shared" si="5"/>
        <v>0.07</v>
      </c>
      <c r="W33" s="17"/>
    </row>
    <row r="34">
      <c r="T34" s="18" t="s">
        <v>390</v>
      </c>
      <c r="U34" s="20">
        <v>0.1784</v>
      </c>
      <c r="V34" s="20">
        <f t="shared" si="5"/>
        <v>0.18</v>
      </c>
      <c r="W34" s="17"/>
    </row>
    <row r="35">
      <c r="T35" s="17"/>
      <c r="U35" s="17"/>
      <c r="V35" s="17"/>
      <c r="W35" s="17"/>
    </row>
    <row r="36">
      <c r="T36" s="18" t="s">
        <v>394</v>
      </c>
      <c r="U36" s="19"/>
      <c r="V36" s="17"/>
      <c r="W36" s="17"/>
    </row>
    <row r="37">
      <c r="T37" s="18" t="s">
        <v>393</v>
      </c>
      <c r="U37" s="20">
        <f>Average(T$2:T$16)</f>
        <v>0.5202</v>
      </c>
      <c r="V37" s="17"/>
      <c r="W37" s="17"/>
    </row>
    <row r="38">
      <c r="T38" s="18" t="s">
        <v>395</v>
      </c>
      <c r="U38" s="20">
        <f>Average(U$2:U$16)</f>
        <v>0.2713333333</v>
      </c>
      <c r="V38" s="17"/>
      <c r="W38" s="17"/>
    </row>
    <row r="39">
      <c r="T39" s="18" t="s">
        <v>396</v>
      </c>
      <c r="U39" s="20">
        <f>Average(V$2:V$16)</f>
        <v>0.03773333333</v>
      </c>
      <c r="V39" s="17"/>
      <c r="W39" s="17"/>
    </row>
    <row r="40">
      <c r="T40" s="18" t="s">
        <v>397</v>
      </c>
      <c r="U40" s="20">
        <f>Average(W$2:W$16)</f>
        <v>0.1819333333</v>
      </c>
      <c r="V40" s="17"/>
      <c r="W40" s="17"/>
    </row>
    <row r="41">
      <c r="T41" s="17"/>
      <c r="U41" s="17"/>
      <c r="V41" s="17"/>
      <c r="W41" s="17"/>
    </row>
    <row r="42">
      <c r="T42" s="5" t="s">
        <v>398</v>
      </c>
      <c r="U42" s="17"/>
      <c r="V42" s="17"/>
      <c r="W42" s="17"/>
    </row>
    <row r="43">
      <c r="T43" s="5" t="s">
        <v>399</v>
      </c>
      <c r="U43" s="17"/>
      <c r="V43" s="17"/>
      <c r="W43" s="17"/>
    </row>
    <row r="44">
      <c r="T44" s="5" t="s">
        <v>400</v>
      </c>
      <c r="U44" s="21">
        <f>Sum(AI$2:AI$16, AK$2:AK$16, AM$2:AM$16, AO$2:AO$16)</f>
        <v>0</v>
      </c>
      <c r="V44" s="17"/>
      <c r="W44" s="17"/>
    </row>
    <row r="45">
      <c r="T45" s="5" t="s">
        <v>401</v>
      </c>
      <c r="U45" s="21">
        <f>15*4</f>
        <v>60</v>
      </c>
      <c r="V45" s="17"/>
      <c r="W45" s="17"/>
    </row>
    <row r="46">
      <c r="T46" s="5" t="s">
        <v>398</v>
      </c>
      <c r="U46" s="21">
        <f>U44/U45</f>
        <v>0</v>
      </c>
      <c r="V46" s="17"/>
      <c r="W46" s="17"/>
    </row>
    <row r="47">
      <c r="T47" s="17"/>
      <c r="U47" s="17"/>
      <c r="V47" s="17"/>
      <c r="W47" s="17"/>
    </row>
    <row r="48">
      <c r="T48" s="17"/>
      <c r="U48" s="17"/>
      <c r="V48" s="17"/>
      <c r="W48" s="17"/>
    </row>
    <row r="49">
      <c r="T49" s="17"/>
      <c r="U49" s="17"/>
      <c r="V49" s="17"/>
      <c r="W49" s="17"/>
    </row>
    <row r="50">
      <c r="T50" s="17"/>
      <c r="U50" s="17"/>
      <c r="V50" s="17"/>
      <c r="W50" s="17"/>
    </row>
    <row r="51">
      <c r="T51" s="17"/>
      <c r="U51" s="17"/>
      <c r="V51" s="17"/>
      <c r="W51" s="17"/>
    </row>
    <row r="52">
      <c r="T52" s="17"/>
      <c r="U52" s="17"/>
      <c r="V52" s="17"/>
      <c r="W52" s="17"/>
    </row>
    <row r="53">
      <c r="T53" s="17"/>
      <c r="U53" s="17"/>
      <c r="V53" s="17"/>
      <c r="W53" s="17"/>
    </row>
    <row r="54">
      <c r="T54" s="17"/>
      <c r="U54" s="17"/>
      <c r="V54" s="17"/>
      <c r="W54" s="17"/>
    </row>
    <row r="55">
      <c r="T55" s="17"/>
      <c r="U55" s="17"/>
      <c r="V55" s="17"/>
      <c r="W55" s="17"/>
    </row>
    <row r="56">
      <c r="T56" s="17"/>
      <c r="U56" s="17"/>
      <c r="V56" s="17"/>
      <c r="W56" s="17"/>
    </row>
    <row r="57">
      <c r="T57" s="17"/>
      <c r="U57" s="17"/>
      <c r="V57" s="17"/>
      <c r="W57" s="17"/>
    </row>
    <row r="58">
      <c r="T58" s="17"/>
      <c r="U58" s="17"/>
      <c r="V58" s="17"/>
      <c r="W58" s="17"/>
    </row>
    <row r="59">
      <c r="T59" s="17"/>
      <c r="U59" s="17"/>
      <c r="V59" s="17"/>
      <c r="W59" s="17"/>
    </row>
    <row r="60">
      <c r="T60" s="17"/>
      <c r="U60" s="17"/>
      <c r="V60" s="17"/>
      <c r="W60" s="17"/>
    </row>
    <row r="61">
      <c r="T61" s="17"/>
      <c r="U61" s="17"/>
      <c r="V61" s="17"/>
      <c r="W61" s="17"/>
    </row>
    <row r="62">
      <c r="T62" s="17"/>
      <c r="U62" s="17"/>
      <c r="V62" s="17"/>
      <c r="W62" s="17"/>
    </row>
    <row r="63">
      <c r="T63" s="17"/>
      <c r="U63" s="17"/>
      <c r="V63" s="17"/>
      <c r="W63" s="17"/>
    </row>
    <row r="64">
      <c r="T64" s="17"/>
      <c r="U64" s="17"/>
      <c r="V64" s="17"/>
      <c r="W64" s="17"/>
    </row>
    <row r="65">
      <c r="T65" s="17"/>
      <c r="U65" s="17"/>
      <c r="V65" s="17"/>
      <c r="W65" s="17"/>
    </row>
    <row r="66">
      <c r="T66" s="17"/>
      <c r="U66" s="17"/>
      <c r="V66" s="17"/>
      <c r="W66" s="17"/>
    </row>
    <row r="67">
      <c r="T67" s="17"/>
      <c r="U67" s="17"/>
      <c r="V67" s="17"/>
      <c r="W67" s="17"/>
    </row>
    <row r="68">
      <c r="T68" s="17"/>
      <c r="U68" s="17"/>
      <c r="V68" s="17"/>
      <c r="W68" s="17"/>
    </row>
    <row r="69">
      <c r="T69" s="17"/>
      <c r="U69" s="17"/>
      <c r="V69" s="17"/>
      <c r="W69" s="17"/>
    </row>
    <row r="70">
      <c r="T70" s="17"/>
      <c r="U70" s="17"/>
      <c r="V70" s="17"/>
      <c r="W70" s="17"/>
    </row>
    <row r="71">
      <c r="T71" s="17"/>
      <c r="U71" s="17"/>
      <c r="V71" s="17"/>
      <c r="W71" s="17"/>
    </row>
    <row r="72">
      <c r="T72" s="17"/>
      <c r="U72" s="17"/>
      <c r="V72" s="17"/>
      <c r="W72" s="17"/>
    </row>
    <row r="73">
      <c r="T73" s="17"/>
      <c r="U73" s="17"/>
      <c r="V73" s="17"/>
      <c r="W73" s="17"/>
    </row>
    <row r="74">
      <c r="T74" s="17"/>
      <c r="U74" s="17"/>
      <c r="V74" s="17"/>
      <c r="W74" s="17"/>
    </row>
    <row r="75">
      <c r="T75" s="17"/>
      <c r="U75" s="17"/>
      <c r="V75" s="17"/>
      <c r="W75" s="17"/>
    </row>
    <row r="76">
      <c r="T76" s="17"/>
      <c r="U76" s="17"/>
      <c r="V76" s="17"/>
      <c r="W76" s="17"/>
    </row>
    <row r="77">
      <c r="T77" s="17"/>
      <c r="U77" s="17"/>
      <c r="V77" s="17"/>
      <c r="W77" s="17"/>
    </row>
    <row r="78">
      <c r="T78" s="17"/>
      <c r="U78" s="17"/>
      <c r="V78" s="17"/>
      <c r="W78" s="17"/>
    </row>
    <row r="79">
      <c r="T79" s="17"/>
      <c r="U79" s="17"/>
      <c r="V79" s="17"/>
      <c r="W79" s="17"/>
    </row>
    <row r="80">
      <c r="T80" s="17"/>
      <c r="U80" s="17"/>
      <c r="V80" s="17"/>
      <c r="W80" s="17"/>
    </row>
    <row r="81">
      <c r="T81" s="17"/>
      <c r="U81" s="17"/>
      <c r="V81" s="17"/>
      <c r="W81" s="17"/>
    </row>
    <row r="82">
      <c r="T82" s="17"/>
      <c r="U82" s="17"/>
      <c r="V82" s="17"/>
      <c r="W82" s="17"/>
    </row>
    <row r="83">
      <c r="T83" s="17"/>
      <c r="U83" s="17"/>
      <c r="V83" s="17"/>
      <c r="W83" s="17"/>
    </row>
    <row r="84">
      <c r="T84" s="17"/>
      <c r="U84" s="17"/>
      <c r="V84" s="17"/>
      <c r="W84" s="17"/>
    </row>
    <row r="85">
      <c r="T85" s="17"/>
      <c r="U85" s="17"/>
      <c r="V85" s="17"/>
      <c r="W85" s="17"/>
    </row>
    <row r="86">
      <c r="T86" s="17"/>
      <c r="U86" s="17"/>
      <c r="V86" s="17"/>
      <c r="W86" s="17"/>
    </row>
    <row r="87">
      <c r="T87" s="17"/>
      <c r="U87" s="17"/>
      <c r="V87" s="17"/>
      <c r="W87" s="17"/>
    </row>
    <row r="88">
      <c r="T88" s="17"/>
      <c r="U88" s="17"/>
      <c r="V88" s="17"/>
      <c r="W88" s="17"/>
    </row>
    <row r="89">
      <c r="T89" s="17"/>
      <c r="U89" s="17"/>
      <c r="V89" s="17"/>
      <c r="W89" s="17"/>
    </row>
    <row r="90">
      <c r="T90" s="17"/>
      <c r="U90" s="17"/>
      <c r="V90" s="17"/>
      <c r="W90" s="17"/>
    </row>
    <row r="91">
      <c r="T91" s="17"/>
      <c r="U91" s="17"/>
      <c r="V91" s="17"/>
      <c r="W91" s="17"/>
    </row>
    <row r="92">
      <c r="T92" s="17"/>
      <c r="U92" s="17"/>
      <c r="V92" s="17"/>
      <c r="W92" s="17"/>
    </row>
    <row r="93">
      <c r="T93" s="17"/>
      <c r="U93" s="17"/>
      <c r="V93" s="17"/>
      <c r="W93" s="17"/>
    </row>
    <row r="94">
      <c r="T94" s="17"/>
      <c r="U94" s="17"/>
      <c r="V94" s="17"/>
      <c r="W94" s="17"/>
    </row>
    <row r="95">
      <c r="T95" s="17"/>
      <c r="U95" s="17"/>
      <c r="V95" s="17"/>
      <c r="W95" s="17"/>
    </row>
    <row r="96">
      <c r="T96" s="17"/>
      <c r="U96" s="17"/>
      <c r="V96" s="17"/>
      <c r="W96" s="17"/>
    </row>
    <row r="97">
      <c r="T97" s="17"/>
      <c r="U97" s="17"/>
      <c r="V97" s="17"/>
      <c r="W97" s="17"/>
    </row>
    <row r="98">
      <c r="T98" s="17"/>
      <c r="U98" s="17"/>
      <c r="V98" s="17"/>
      <c r="W98" s="17"/>
    </row>
    <row r="99">
      <c r="T99" s="17"/>
      <c r="U99" s="17"/>
      <c r="V99" s="17"/>
      <c r="W99" s="17"/>
    </row>
    <row r="100">
      <c r="T100" s="17"/>
      <c r="U100" s="17"/>
      <c r="V100" s="17"/>
      <c r="W100" s="17"/>
    </row>
    <row r="101">
      <c r="T101" s="17"/>
      <c r="U101" s="17"/>
      <c r="V101" s="17"/>
      <c r="W101" s="17"/>
    </row>
    <row r="102">
      <c r="T102" s="17"/>
      <c r="U102" s="17"/>
      <c r="V102" s="17"/>
      <c r="W102" s="17"/>
    </row>
    <row r="103">
      <c r="T103" s="17"/>
      <c r="U103" s="17"/>
      <c r="V103" s="17"/>
      <c r="W103" s="17"/>
    </row>
    <row r="104">
      <c r="T104" s="17"/>
      <c r="U104" s="17"/>
      <c r="V104" s="17"/>
      <c r="W104" s="17"/>
    </row>
    <row r="105">
      <c r="T105" s="17"/>
      <c r="U105" s="17"/>
      <c r="V105" s="17"/>
      <c r="W105" s="17"/>
    </row>
    <row r="106">
      <c r="T106" s="17"/>
      <c r="U106" s="17"/>
      <c r="V106" s="17"/>
      <c r="W106" s="17"/>
    </row>
    <row r="107">
      <c r="T107" s="17"/>
      <c r="U107" s="17"/>
      <c r="V107" s="17"/>
      <c r="W107" s="17"/>
    </row>
    <row r="108">
      <c r="T108" s="17"/>
      <c r="U108" s="17"/>
      <c r="V108" s="17"/>
      <c r="W108" s="17"/>
    </row>
    <row r="109">
      <c r="T109" s="17"/>
      <c r="U109" s="17"/>
      <c r="V109" s="17"/>
      <c r="W109" s="17"/>
    </row>
    <row r="110">
      <c r="T110" s="17"/>
      <c r="U110" s="17"/>
      <c r="V110" s="17"/>
      <c r="W110" s="17"/>
    </row>
    <row r="111">
      <c r="T111" s="17"/>
      <c r="U111" s="17"/>
      <c r="V111" s="17"/>
      <c r="W111" s="17"/>
    </row>
    <row r="112">
      <c r="T112" s="17"/>
      <c r="U112" s="17"/>
      <c r="V112" s="17"/>
      <c r="W112" s="17"/>
    </row>
    <row r="113">
      <c r="T113" s="17"/>
      <c r="U113" s="17"/>
      <c r="V113" s="17"/>
      <c r="W113" s="17"/>
    </row>
    <row r="114">
      <c r="T114" s="17"/>
      <c r="U114" s="17"/>
      <c r="V114" s="17"/>
      <c r="W114" s="17"/>
    </row>
    <row r="115">
      <c r="T115" s="17"/>
      <c r="U115" s="17"/>
      <c r="V115" s="17"/>
      <c r="W115" s="17"/>
    </row>
    <row r="116">
      <c r="T116" s="17"/>
      <c r="U116" s="17"/>
      <c r="V116" s="17"/>
      <c r="W116" s="17"/>
    </row>
    <row r="117">
      <c r="T117" s="17"/>
      <c r="U117" s="17"/>
      <c r="V117" s="17"/>
      <c r="W117" s="17"/>
    </row>
    <row r="118">
      <c r="T118" s="17"/>
      <c r="U118" s="17"/>
      <c r="V118" s="17"/>
      <c r="W118" s="17"/>
    </row>
    <row r="119">
      <c r="T119" s="17"/>
      <c r="U119" s="17"/>
      <c r="V119" s="17"/>
      <c r="W119" s="17"/>
    </row>
    <row r="120">
      <c r="T120" s="17"/>
      <c r="U120" s="17"/>
      <c r="V120" s="17"/>
      <c r="W120" s="17"/>
    </row>
    <row r="121">
      <c r="T121" s="17"/>
      <c r="U121" s="17"/>
      <c r="V121" s="17"/>
      <c r="W121" s="17"/>
    </row>
    <row r="122">
      <c r="T122" s="17"/>
      <c r="U122" s="17"/>
      <c r="V122" s="17"/>
      <c r="W122" s="17"/>
    </row>
    <row r="123">
      <c r="T123" s="17"/>
      <c r="U123" s="17"/>
      <c r="V123" s="17"/>
      <c r="W123" s="17"/>
    </row>
    <row r="124">
      <c r="T124" s="17"/>
      <c r="U124" s="17"/>
      <c r="V124" s="17"/>
      <c r="W124" s="17"/>
    </row>
    <row r="125">
      <c r="T125" s="17"/>
      <c r="U125" s="17"/>
      <c r="V125" s="17"/>
      <c r="W125" s="17"/>
    </row>
    <row r="126">
      <c r="T126" s="17"/>
      <c r="U126" s="17"/>
      <c r="V126" s="17"/>
      <c r="W126" s="17"/>
    </row>
    <row r="127">
      <c r="T127" s="17"/>
      <c r="U127" s="17"/>
      <c r="V127" s="17"/>
      <c r="W127" s="17"/>
    </row>
    <row r="128">
      <c r="T128" s="17"/>
      <c r="U128" s="17"/>
      <c r="V128" s="17"/>
      <c r="W128" s="17"/>
    </row>
    <row r="129">
      <c r="T129" s="17"/>
      <c r="U129" s="17"/>
      <c r="V129" s="17"/>
      <c r="W129" s="17"/>
    </row>
    <row r="130">
      <c r="T130" s="17"/>
      <c r="U130" s="17"/>
      <c r="V130" s="17"/>
      <c r="W130" s="17"/>
    </row>
    <row r="131">
      <c r="T131" s="17"/>
      <c r="U131" s="17"/>
      <c r="V131" s="17"/>
      <c r="W131" s="17"/>
    </row>
    <row r="132">
      <c r="T132" s="17"/>
      <c r="U132" s="17"/>
      <c r="V132" s="17"/>
      <c r="W132" s="17"/>
    </row>
    <row r="133">
      <c r="T133" s="17"/>
      <c r="U133" s="17"/>
      <c r="V133" s="17"/>
      <c r="W133" s="17"/>
    </row>
    <row r="134">
      <c r="T134" s="17"/>
      <c r="U134" s="17"/>
      <c r="V134" s="17"/>
      <c r="W134" s="17"/>
    </row>
    <row r="135">
      <c r="T135" s="17"/>
      <c r="U135" s="17"/>
      <c r="V135" s="17"/>
      <c r="W135" s="17"/>
    </row>
    <row r="136">
      <c r="T136" s="17"/>
      <c r="U136" s="17"/>
      <c r="V136" s="17"/>
      <c r="W136" s="17"/>
    </row>
    <row r="137">
      <c r="T137" s="17"/>
      <c r="U137" s="17"/>
      <c r="V137" s="17"/>
      <c r="W137" s="17"/>
    </row>
    <row r="138">
      <c r="T138" s="17"/>
      <c r="U138" s="17"/>
      <c r="V138" s="17"/>
      <c r="W138" s="17"/>
    </row>
    <row r="139">
      <c r="T139" s="17"/>
      <c r="U139" s="17"/>
      <c r="V139" s="17"/>
      <c r="W139" s="17"/>
    </row>
    <row r="140">
      <c r="T140" s="17"/>
      <c r="U140" s="17"/>
      <c r="V140" s="17"/>
      <c r="W140" s="17"/>
    </row>
    <row r="141">
      <c r="T141" s="17"/>
      <c r="U141" s="17"/>
      <c r="V141" s="17"/>
      <c r="W141" s="17"/>
    </row>
    <row r="142">
      <c r="T142" s="17"/>
      <c r="U142" s="17"/>
      <c r="V142" s="17"/>
      <c r="W142" s="17"/>
    </row>
    <row r="143">
      <c r="T143" s="17"/>
      <c r="U143" s="17"/>
      <c r="V143" s="17"/>
      <c r="W143" s="17"/>
    </row>
    <row r="144">
      <c r="T144" s="17"/>
      <c r="U144" s="17"/>
      <c r="V144" s="17"/>
      <c r="W144" s="17"/>
    </row>
    <row r="145">
      <c r="T145" s="17"/>
      <c r="U145" s="17"/>
      <c r="V145" s="17"/>
      <c r="W145" s="17"/>
    </row>
    <row r="146">
      <c r="T146" s="17"/>
      <c r="U146" s="17"/>
      <c r="V146" s="17"/>
      <c r="W146" s="17"/>
    </row>
    <row r="147">
      <c r="T147" s="17"/>
      <c r="U147" s="17"/>
      <c r="V147" s="17"/>
      <c r="W147" s="17"/>
    </row>
    <row r="148">
      <c r="T148" s="17"/>
      <c r="U148" s="17"/>
      <c r="V148" s="17"/>
      <c r="W148" s="17"/>
    </row>
    <row r="149">
      <c r="T149" s="17"/>
      <c r="U149" s="17"/>
      <c r="V149" s="17"/>
      <c r="W149" s="17"/>
    </row>
    <row r="150">
      <c r="T150" s="17"/>
      <c r="U150" s="17"/>
      <c r="V150" s="17"/>
      <c r="W150" s="17"/>
    </row>
    <row r="151">
      <c r="T151" s="17"/>
      <c r="U151" s="17"/>
      <c r="V151" s="17"/>
      <c r="W151" s="17"/>
    </row>
    <row r="152">
      <c r="T152" s="17"/>
      <c r="U152" s="17"/>
      <c r="V152" s="17"/>
      <c r="W152" s="17"/>
    </row>
    <row r="153">
      <c r="T153" s="17"/>
      <c r="U153" s="17"/>
      <c r="V153" s="17"/>
      <c r="W153" s="17"/>
    </row>
    <row r="154">
      <c r="T154" s="17"/>
      <c r="U154" s="17"/>
      <c r="V154" s="17"/>
      <c r="W154" s="17"/>
    </row>
    <row r="155">
      <c r="T155" s="17"/>
      <c r="U155" s="17"/>
      <c r="V155" s="17"/>
      <c r="W155" s="17"/>
    </row>
    <row r="156">
      <c r="T156" s="17"/>
      <c r="U156" s="17"/>
      <c r="V156" s="17"/>
      <c r="W156" s="17"/>
    </row>
    <row r="157">
      <c r="T157" s="17"/>
      <c r="U157" s="17"/>
      <c r="V157" s="17"/>
      <c r="W157" s="17"/>
    </row>
    <row r="158">
      <c r="T158" s="17"/>
      <c r="U158" s="17"/>
      <c r="V158" s="17"/>
      <c r="W158" s="17"/>
    </row>
    <row r="159">
      <c r="T159" s="17"/>
      <c r="U159" s="17"/>
      <c r="V159" s="17"/>
      <c r="W159" s="17"/>
    </row>
    <row r="160">
      <c r="T160" s="17"/>
      <c r="U160" s="17"/>
      <c r="V160" s="17"/>
      <c r="W160" s="17"/>
    </row>
    <row r="161">
      <c r="T161" s="17"/>
      <c r="U161" s="17"/>
      <c r="V161" s="17"/>
      <c r="W161" s="17"/>
    </row>
    <row r="162">
      <c r="T162" s="17"/>
      <c r="U162" s="17"/>
      <c r="V162" s="17"/>
      <c r="W162" s="17"/>
    </row>
    <row r="163">
      <c r="T163" s="17"/>
      <c r="U163" s="17"/>
      <c r="V163" s="17"/>
      <c r="W163" s="17"/>
    </row>
    <row r="164">
      <c r="T164" s="17"/>
      <c r="U164" s="17"/>
      <c r="V164" s="17"/>
      <c r="W164" s="17"/>
    </row>
    <row r="165">
      <c r="T165" s="17"/>
      <c r="U165" s="17"/>
      <c r="V165" s="17"/>
      <c r="W165" s="17"/>
    </row>
    <row r="166">
      <c r="T166" s="17"/>
      <c r="U166" s="17"/>
      <c r="V166" s="17"/>
      <c r="W166" s="17"/>
    </row>
    <row r="167">
      <c r="T167" s="17"/>
      <c r="U167" s="17"/>
      <c r="V167" s="17"/>
      <c r="W167" s="17"/>
    </row>
    <row r="168">
      <c r="T168" s="17"/>
      <c r="U168" s="17"/>
      <c r="V168" s="17"/>
      <c r="W168" s="17"/>
    </row>
    <row r="169">
      <c r="T169" s="17"/>
      <c r="U169" s="17"/>
      <c r="V169" s="17"/>
      <c r="W169" s="17"/>
    </row>
    <row r="170">
      <c r="T170" s="17"/>
      <c r="U170" s="17"/>
      <c r="V170" s="17"/>
      <c r="W170" s="17"/>
    </row>
    <row r="171">
      <c r="T171" s="17"/>
      <c r="U171" s="17"/>
      <c r="V171" s="17"/>
      <c r="W171" s="17"/>
    </row>
    <row r="172">
      <c r="T172" s="17"/>
      <c r="U172" s="17"/>
      <c r="V172" s="17"/>
      <c r="W172" s="17"/>
    </row>
    <row r="173">
      <c r="T173" s="17"/>
      <c r="U173" s="17"/>
      <c r="V173" s="17"/>
      <c r="W173" s="17"/>
    </row>
    <row r="174">
      <c r="T174" s="17"/>
      <c r="U174" s="17"/>
      <c r="V174" s="17"/>
      <c r="W174" s="17"/>
    </row>
    <row r="175">
      <c r="T175" s="17"/>
      <c r="U175" s="17"/>
      <c r="V175" s="17"/>
      <c r="W175" s="17"/>
    </row>
    <row r="176">
      <c r="T176" s="17"/>
      <c r="U176" s="17"/>
      <c r="V176" s="17"/>
      <c r="W176" s="17"/>
    </row>
    <row r="177">
      <c r="T177" s="17"/>
      <c r="U177" s="17"/>
      <c r="V177" s="17"/>
      <c r="W177" s="17"/>
    </row>
    <row r="178">
      <c r="T178" s="17"/>
      <c r="U178" s="17"/>
      <c r="V178" s="17"/>
      <c r="W178" s="17"/>
    </row>
    <row r="179">
      <c r="T179" s="17"/>
      <c r="U179" s="17"/>
      <c r="V179" s="17"/>
      <c r="W179" s="17"/>
    </row>
    <row r="180">
      <c r="T180" s="17"/>
      <c r="U180" s="17"/>
      <c r="V180" s="17"/>
      <c r="W180" s="17"/>
    </row>
    <row r="181">
      <c r="T181" s="17"/>
      <c r="U181" s="17"/>
      <c r="V181" s="17"/>
      <c r="W181" s="17"/>
    </row>
    <row r="182">
      <c r="T182" s="17"/>
      <c r="U182" s="17"/>
      <c r="V182" s="17"/>
      <c r="W182" s="17"/>
    </row>
    <row r="183">
      <c r="T183" s="17"/>
      <c r="U183" s="17"/>
      <c r="V183" s="17"/>
      <c r="W183" s="17"/>
    </row>
    <row r="184">
      <c r="T184" s="17"/>
      <c r="U184" s="17"/>
      <c r="V184" s="17"/>
      <c r="W184" s="17"/>
    </row>
    <row r="185">
      <c r="T185" s="17"/>
      <c r="U185" s="17"/>
      <c r="V185" s="17"/>
      <c r="W185" s="17"/>
    </row>
    <row r="186">
      <c r="T186" s="17"/>
      <c r="U186" s="17"/>
      <c r="V186" s="17"/>
      <c r="W186" s="17"/>
    </row>
    <row r="187">
      <c r="T187" s="17"/>
      <c r="U187" s="17"/>
      <c r="V187" s="17"/>
      <c r="W187" s="17"/>
    </row>
    <row r="188">
      <c r="T188" s="17"/>
      <c r="U188" s="17"/>
      <c r="V188" s="17"/>
      <c r="W188" s="17"/>
    </row>
    <row r="189">
      <c r="T189" s="17"/>
      <c r="U189" s="17"/>
      <c r="V189" s="17"/>
      <c r="W189" s="17"/>
    </row>
    <row r="190">
      <c r="T190" s="17"/>
      <c r="U190" s="17"/>
      <c r="V190" s="17"/>
      <c r="W190" s="17"/>
    </row>
    <row r="191">
      <c r="T191" s="17"/>
      <c r="U191" s="17"/>
      <c r="V191" s="17"/>
      <c r="W191" s="17"/>
    </row>
    <row r="192">
      <c r="T192" s="17"/>
      <c r="U192" s="17"/>
      <c r="V192" s="17"/>
      <c r="W192" s="17"/>
    </row>
    <row r="193">
      <c r="T193" s="17"/>
      <c r="U193" s="17"/>
      <c r="V193" s="17"/>
      <c r="W193" s="17"/>
    </row>
    <row r="194">
      <c r="T194" s="17"/>
      <c r="U194" s="17"/>
      <c r="V194" s="17"/>
      <c r="W194" s="17"/>
    </row>
    <row r="195">
      <c r="T195" s="17"/>
      <c r="U195" s="17"/>
      <c r="V195" s="17"/>
      <c r="W195" s="17"/>
    </row>
    <row r="196">
      <c r="T196" s="17"/>
      <c r="U196" s="17"/>
      <c r="V196" s="17"/>
      <c r="W196" s="17"/>
    </row>
    <row r="197">
      <c r="T197" s="17"/>
      <c r="U197" s="17"/>
      <c r="V197" s="17"/>
      <c r="W197" s="17"/>
    </row>
    <row r="198">
      <c r="T198" s="17"/>
      <c r="U198" s="17"/>
      <c r="V198" s="17"/>
      <c r="W198" s="17"/>
    </row>
    <row r="199">
      <c r="T199" s="17"/>
      <c r="U199" s="17"/>
      <c r="V199" s="17"/>
      <c r="W199" s="17"/>
    </row>
    <row r="200">
      <c r="T200" s="17"/>
      <c r="U200" s="17"/>
      <c r="V200" s="17"/>
      <c r="W200" s="17"/>
    </row>
    <row r="201">
      <c r="T201" s="17"/>
      <c r="U201" s="17"/>
      <c r="V201" s="17"/>
      <c r="W201" s="17"/>
    </row>
    <row r="202">
      <c r="T202" s="17"/>
      <c r="U202" s="17"/>
      <c r="V202" s="17"/>
      <c r="W202" s="17"/>
    </row>
    <row r="203">
      <c r="T203" s="17"/>
      <c r="U203" s="17"/>
      <c r="V203" s="17"/>
      <c r="W203" s="17"/>
    </row>
    <row r="204">
      <c r="T204" s="17"/>
      <c r="U204" s="17"/>
      <c r="V204" s="17"/>
      <c r="W204" s="17"/>
    </row>
    <row r="205">
      <c r="T205" s="17"/>
      <c r="U205" s="17"/>
      <c r="V205" s="17"/>
      <c r="W205" s="17"/>
    </row>
    <row r="206">
      <c r="T206" s="17"/>
      <c r="U206" s="17"/>
      <c r="V206" s="17"/>
      <c r="W206" s="17"/>
    </row>
    <row r="207">
      <c r="T207" s="17"/>
      <c r="U207" s="17"/>
      <c r="V207" s="17"/>
      <c r="W207" s="17"/>
    </row>
    <row r="208">
      <c r="T208" s="17"/>
      <c r="U208" s="17"/>
      <c r="V208" s="17"/>
      <c r="W208" s="17"/>
    </row>
    <row r="209">
      <c r="T209" s="17"/>
      <c r="U209" s="17"/>
      <c r="V209" s="17"/>
      <c r="W209" s="17"/>
    </row>
    <row r="210">
      <c r="T210" s="17"/>
      <c r="U210" s="17"/>
      <c r="V210" s="17"/>
      <c r="W210" s="17"/>
    </row>
    <row r="211">
      <c r="T211" s="17"/>
      <c r="U211" s="17"/>
      <c r="V211" s="17"/>
      <c r="W211" s="17"/>
    </row>
    <row r="212">
      <c r="T212" s="17"/>
      <c r="U212" s="17"/>
      <c r="V212" s="17"/>
      <c r="W212" s="17"/>
    </row>
    <row r="213">
      <c r="T213" s="17"/>
      <c r="U213" s="17"/>
      <c r="V213" s="17"/>
      <c r="W213" s="17"/>
    </row>
    <row r="214">
      <c r="T214" s="17"/>
      <c r="U214" s="17"/>
      <c r="V214" s="17"/>
      <c r="W214" s="17"/>
    </row>
    <row r="215">
      <c r="T215" s="17"/>
      <c r="U215" s="17"/>
      <c r="V215" s="17"/>
      <c r="W215" s="17"/>
    </row>
    <row r="216">
      <c r="T216" s="17"/>
      <c r="U216" s="17"/>
      <c r="V216" s="17"/>
      <c r="W216" s="17"/>
    </row>
    <row r="217">
      <c r="T217" s="17"/>
      <c r="U217" s="17"/>
      <c r="V217" s="17"/>
      <c r="W217" s="17"/>
    </row>
    <row r="218">
      <c r="T218" s="17"/>
      <c r="U218" s="17"/>
      <c r="V218" s="17"/>
      <c r="W218" s="17"/>
    </row>
    <row r="219">
      <c r="T219" s="17"/>
      <c r="U219" s="17"/>
      <c r="V219" s="17"/>
      <c r="W219" s="17"/>
    </row>
    <row r="220">
      <c r="T220" s="17"/>
      <c r="U220" s="17"/>
      <c r="V220" s="17"/>
      <c r="W220" s="17"/>
    </row>
    <row r="221">
      <c r="T221" s="17"/>
      <c r="U221" s="17"/>
      <c r="V221" s="17"/>
      <c r="W221" s="17"/>
    </row>
    <row r="222">
      <c r="T222" s="17"/>
      <c r="U222" s="17"/>
      <c r="V222" s="17"/>
      <c r="W222" s="17"/>
    </row>
    <row r="223">
      <c r="T223" s="17"/>
      <c r="U223" s="17"/>
      <c r="V223" s="17"/>
      <c r="W223" s="17"/>
    </row>
    <row r="224">
      <c r="T224" s="17"/>
      <c r="U224" s="17"/>
      <c r="V224" s="17"/>
      <c r="W224" s="17"/>
    </row>
    <row r="225">
      <c r="T225" s="17"/>
      <c r="U225" s="17"/>
      <c r="V225" s="17"/>
      <c r="W225" s="17"/>
    </row>
    <row r="226">
      <c r="T226" s="17"/>
      <c r="U226" s="17"/>
      <c r="V226" s="17"/>
      <c r="W226" s="17"/>
    </row>
    <row r="227">
      <c r="T227" s="17"/>
      <c r="U227" s="17"/>
      <c r="V227" s="17"/>
      <c r="W227" s="17"/>
    </row>
    <row r="228">
      <c r="T228" s="17"/>
      <c r="U228" s="17"/>
      <c r="V228" s="17"/>
      <c r="W228" s="17"/>
    </row>
    <row r="229">
      <c r="T229" s="17"/>
      <c r="U229" s="17"/>
      <c r="V229" s="17"/>
      <c r="W229" s="17"/>
    </row>
    <row r="230">
      <c r="T230" s="17"/>
      <c r="U230" s="17"/>
      <c r="V230" s="17"/>
      <c r="W230" s="17"/>
    </row>
    <row r="231">
      <c r="T231" s="17"/>
      <c r="U231" s="17"/>
      <c r="V231" s="17"/>
      <c r="W231" s="17"/>
    </row>
    <row r="232">
      <c r="T232" s="17"/>
      <c r="U232" s="17"/>
      <c r="V232" s="17"/>
      <c r="W232" s="17"/>
    </row>
    <row r="233">
      <c r="T233" s="17"/>
      <c r="U233" s="17"/>
      <c r="V233" s="17"/>
      <c r="W233" s="17"/>
    </row>
    <row r="234">
      <c r="T234" s="17"/>
      <c r="U234" s="17"/>
      <c r="V234" s="17"/>
      <c r="W234" s="17"/>
    </row>
    <row r="235">
      <c r="T235" s="17"/>
      <c r="U235" s="17"/>
      <c r="V235" s="17"/>
      <c r="W235" s="17"/>
    </row>
    <row r="236">
      <c r="T236" s="17"/>
      <c r="U236" s="17"/>
      <c r="V236" s="17"/>
      <c r="W236" s="17"/>
    </row>
    <row r="237">
      <c r="T237" s="17"/>
      <c r="U237" s="17"/>
      <c r="V237" s="17"/>
      <c r="W237" s="17"/>
    </row>
    <row r="238">
      <c r="T238" s="17"/>
      <c r="U238" s="17"/>
      <c r="V238" s="17"/>
      <c r="W238" s="17"/>
    </row>
    <row r="239">
      <c r="T239" s="17"/>
      <c r="U239" s="17"/>
      <c r="V239" s="17"/>
      <c r="W239" s="17"/>
    </row>
    <row r="240">
      <c r="T240" s="17"/>
      <c r="U240" s="17"/>
      <c r="V240" s="17"/>
      <c r="W240" s="17"/>
    </row>
    <row r="241">
      <c r="T241" s="17"/>
      <c r="U241" s="17"/>
      <c r="V241" s="17"/>
      <c r="W241" s="17"/>
    </row>
    <row r="242">
      <c r="T242" s="17"/>
      <c r="U242" s="17"/>
      <c r="V242" s="17"/>
      <c r="W242" s="17"/>
    </row>
    <row r="243">
      <c r="T243" s="17"/>
      <c r="U243" s="17"/>
      <c r="V243" s="17"/>
      <c r="W243" s="17"/>
    </row>
    <row r="244">
      <c r="T244" s="17"/>
      <c r="U244" s="17"/>
      <c r="V244" s="17"/>
      <c r="W244" s="17"/>
    </row>
    <row r="245">
      <c r="T245" s="17"/>
      <c r="U245" s="17"/>
      <c r="V245" s="17"/>
      <c r="W245" s="17"/>
    </row>
    <row r="246">
      <c r="T246" s="17"/>
      <c r="U246" s="17"/>
      <c r="V246" s="17"/>
      <c r="W246" s="17"/>
    </row>
    <row r="247">
      <c r="T247" s="17"/>
      <c r="U247" s="17"/>
      <c r="V247" s="17"/>
      <c r="W247" s="17"/>
    </row>
    <row r="248">
      <c r="T248" s="17"/>
      <c r="U248" s="17"/>
      <c r="V248" s="17"/>
      <c r="W248" s="17"/>
    </row>
    <row r="249">
      <c r="T249" s="17"/>
      <c r="U249" s="17"/>
      <c r="V249" s="17"/>
      <c r="W249" s="17"/>
    </row>
    <row r="250">
      <c r="T250" s="17"/>
      <c r="U250" s="17"/>
      <c r="V250" s="17"/>
      <c r="W250" s="17"/>
    </row>
    <row r="251">
      <c r="T251" s="17"/>
      <c r="U251" s="17"/>
      <c r="V251" s="17"/>
      <c r="W251" s="17"/>
    </row>
    <row r="252">
      <c r="T252" s="17"/>
      <c r="U252" s="17"/>
      <c r="V252" s="17"/>
      <c r="W252" s="17"/>
    </row>
    <row r="253">
      <c r="T253" s="17"/>
      <c r="U253" s="17"/>
      <c r="V253" s="17"/>
      <c r="W253" s="17"/>
    </row>
    <row r="254">
      <c r="T254" s="17"/>
      <c r="U254" s="17"/>
      <c r="V254" s="17"/>
      <c r="W254" s="17"/>
    </row>
    <row r="255">
      <c r="T255" s="17"/>
      <c r="U255" s="17"/>
      <c r="V255" s="17"/>
      <c r="W255" s="17"/>
    </row>
    <row r="256">
      <c r="T256" s="17"/>
      <c r="U256" s="17"/>
      <c r="V256" s="17"/>
      <c r="W256" s="17"/>
    </row>
    <row r="257">
      <c r="T257" s="17"/>
      <c r="U257" s="17"/>
      <c r="V257" s="17"/>
      <c r="W257" s="17"/>
    </row>
    <row r="258">
      <c r="T258" s="17"/>
      <c r="U258" s="17"/>
      <c r="V258" s="17"/>
      <c r="W258" s="17"/>
    </row>
    <row r="259">
      <c r="T259" s="17"/>
      <c r="U259" s="17"/>
      <c r="V259" s="17"/>
      <c r="W259" s="17"/>
    </row>
    <row r="260">
      <c r="T260" s="17"/>
      <c r="U260" s="17"/>
      <c r="V260" s="17"/>
      <c r="W260" s="17"/>
    </row>
    <row r="261">
      <c r="T261" s="17"/>
      <c r="U261" s="17"/>
      <c r="V261" s="17"/>
      <c r="W261" s="17"/>
    </row>
    <row r="262">
      <c r="T262" s="17"/>
      <c r="U262" s="17"/>
      <c r="V262" s="17"/>
      <c r="W262" s="17"/>
    </row>
    <row r="263">
      <c r="T263" s="17"/>
      <c r="U263" s="17"/>
      <c r="V263" s="17"/>
      <c r="W263" s="17"/>
    </row>
    <row r="264">
      <c r="T264" s="17"/>
      <c r="U264" s="17"/>
      <c r="V264" s="17"/>
      <c r="W264" s="17"/>
    </row>
    <row r="265">
      <c r="T265" s="17"/>
      <c r="U265" s="17"/>
      <c r="V265" s="17"/>
      <c r="W265" s="17"/>
    </row>
    <row r="266">
      <c r="T266" s="17"/>
      <c r="U266" s="17"/>
      <c r="V266" s="17"/>
      <c r="W266" s="17"/>
    </row>
    <row r="267">
      <c r="T267" s="17"/>
      <c r="U267" s="17"/>
      <c r="V267" s="17"/>
      <c r="W267" s="17"/>
    </row>
    <row r="268">
      <c r="T268" s="17"/>
      <c r="U268" s="17"/>
      <c r="V268" s="17"/>
      <c r="W268" s="17"/>
    </row>
    <row r="269">
      <c r="T269" s="17"/>
      <c r="U269" s="17"/>
      <c r="V269" s="17"/>
      <c r="W269" s="17"/>
    </row>
    <row r="270">
      <c r="T270" s="17"/>
      <c r="U270" s="17"/>
      <c r="V270" s="17"/>
      <c r="W270" s="17"/>
    </row>
    <row r="271">
      <c r="T271" s="17"/>
      <c r="U271" s="17"/>
      <c r="V271" s="17"/>
      <c r="W271" s="17"/>
    </row>
    <row r="272">
      <c r="T272" s="17"/>
      <c r="U272" s="17"/>
      <c r="V272" s="17"/>
      <c r="W272" s="17"/>
    </row>
    <row r="273">
      <c r="T273" s="17"/>
      <c r="U273" s="17"/>
      <c r="V273" s="17"/>
      <c r="W273" s="17"/>
    </row>
    <row r="274">
      <c r="T274" s="17"/>
      <c r="U274" s="17"/>
      <c r="V274" s="17"/>
      <c r="W274" s="17"/>
    </row>
    <row r="275">
      <c r="T275" s="17"/>
      <c r="U275" s="17"/>
      <c r="V275" s="17"/>
      <c r="W275" s="17"/>
    </row>
    <row r="276">
      <c r="T276" s="17"/>
      <c r="U276" s="17"/>
      <c r="V276" s="17"/>
      <c r="W276" s="17"/>
    </row>
    <row r="277">
      <c r="T277" s="17"/>
      <c r="U277" s="17"/>
      <c r="V277" s="17"/>
      <c r="W277" s="17"/>
    </row>
    <row r="278">
      <c r="T278" s="17"/>
      <c r="U278" s="17"/>
      <c r="V278" s="17"/>
      <c r="W278" s="17"/>
    </row>
    <row r="279">
      <c r="T279" s="17"/>
      <c r="U279" s="17"/>
      <c r="V279" s="17"/>
      <c r="W279" s="17"/>
    </row>
    <row r="280">
      <c r="T280" s="17"/>
      <c r="U280" s="17"/>
      <c r="V280" s="17"/>
      <c r="W280" s="17"/>
    </row>
    <row r="281">
      <c r="T281" s="17"/>
      <c r="U281" s="17"/>
      <c r="V281" s="17"/>
      <c r="W281" s="17"/>
    </row>
    <row r="282">
      <c r="T282" s="17"/>
      <c r="U282" s="17"/>
      <c r="V282" s="17"/>
      <c r="W282" s="17"/>
    </row>
    <row r="283">
      <c r="T283" s="17"/>
      <c r="U283" s="17"/>
      <c r="V283" s="17"/>
      <c r="W283" s="17"/>
    </row>
    <row r="284">
      <c r="T284" s="17"/>
      <c r="U284" s="17"/>
      <c r="V284" s="17"/>
      <c r="W284" s="17"/>
    </row>
    <row r="285">
      <c r="T285" s="17"/>
      <c r="U285" s="17"/>
      <c r="V285" s="17"/>
      <c r="W285" s="17"/>
    </row>
    <row r="286">
      <c r="T286" s="17"/>
      <c r="U286" s="17"/>
      <c r="V286" s="17"/>
      <c r="W286" s="17"/>
    </row>
    <row r="287">
      <c r="T287" s="17"/>
      <c r="U287" s="17"/>
      <c r="V287" s="17"/>
      <c r="W287" s="17"/>
    </row>
    <row r="288">
      <c r="T288" s="17"/>
      <c r="U288" s="17"/>
      <c r="V288" s="17"/>
      <c r="W288" s="17"/>
    </row>
    <row r="289">
      <c r="T289" s="17"/>
      <c r="U289" s="17"/>
      <c r="V289" s="17"/>
      <c r="W289" s="17"/>
    </row>
    <row r="290">
      <c r="T290" s="17"/>
      <c r="U290" s="17"/>
      <c r="V290" s="17"/>
      <c r="W290" s="17"/>
    </row>
    <row r="291">
      <c r="T291" s="17"/>
      <c r="U291" s="17"/>
      <c r="V291" s="17"/>
      <c r="W291" s="17"/>
    </row>
    <row r="292">
      <c r="T292" s="17"/>
      <c r="U292" s="17"/>
      <c r="V292" s="17"/>
      <c r="W292" s="17"/>
    </row>
    <row r="293">
      <c r="T293" s="17"/>
      <c r="U293" s="17"/>
      <c r="V293" s="17"/>
      <c r="W293" s="17"/>
    </row>
    <row r="294">
      <c r="T294" s="17"/>
      <c r="U294" s="17"/>
      <c r="V294" s="17"/>
      <c r="W294" s="17"/>
    </row>
    <row r="295">
      <c r="T295" s="17"/>
      <c r="U295" s="17"/>
      <c r="V295" s="17"/>
      <c r="W295" s="17"/>
    </row>
    <row r="296">
      <c r="T296" s="17"/>
      <c r="U296" s="17"/>
      <c r="V296" s="17"/>
      <c r="W296" s="17"/>
    </row>
    <row r="297">
      <c r="T297" s="17"/>
      <c r="U297" s="17"/>
      <c r="V297" s="17"/>
      <c r="W297" s="17"/>
    </row>
    <row r="298">
      <c r="T298" s="17"/>
      <c r="U298" s="17"/>
      <c r="V298" s="17"/>
      <c r="W298" s="17"/>
    </row>
    <row r="299">
      <c r="T299" s="17"/>
      <c r="U299" s="17"/>
      <c r="V299" s="17"/>
      <c r="W299" s="17"/>
    </row>
    <row r="300">
      <c r="T300" s="17"/>
      <c r="U300" s="17"/>
      <c r="V300" s="17"/>
      <c r="W300" s="17"/>
    </row>
    <row r="301">
      <c r="T301" s="17"/>
      <c r="U301" s="17"/>
      <c r="V301" s="17"/>
      <c r="W301" s="17"/>
    </row>
    <row r="302">
      <c r="T302" s="17"/>
      <c r="U302" s="17"/>
      <c r="V302" s="17"/>
      <c r="W302" s="17"/>
    </row>
    <row r="303">
      <c r="T303" s="17"/>
      <c r="U303" s="17"/>
      <c r="V303" s="17"/>
      <c r="W303" s="17"/>
    </row>
    <row r="304">
      <c r="T304" s="17"/>
      <c r="U304" s="17"/>
      <c r="V304" s="17"/>
      <c r="W304" s="17"/>
    </row>
    <row r="305">
      <c r="T305" s="17"/>
      <c r="U305" s="17"/>
      <c r="V305" s="17"/>
      <c r="W305" s="17"/>
    </row>
    <row r="306">
      <c r="T306" s="17"/>
      <c r="U306" s="17"/>
      <c r="V306" s="17"/>
      <c r="W306" s="17"/>
    </row>
    <row r="307">
      <c r="T307" s="17"/>
      <c r="U307" s="17"/>
      <c r="V307" s="17"/>
      <c r="W307" s="17"/>
    </row>
    <row r="308">
      <c r="T308" s="17"/>
      <c r="U308" s="17"/>
      <c r="V308" s="17"/>
      <c r="W308" s="17"/>
    </row>
    <row r="309">
      <c r="T309" s="17"/>
      <c r="U309" s="17"/>
      <c r="V309" s="17"/>
      <c r="W309" s="17"/>
    </row>
    <row r="310">
      <c r="T310" s="17"/>
      <c r="U310" s="17"/>
      <c r="V310" s="17"/>
      <c r="W310" s="17"/>
    </row>
    <row r="311">
      <c r="T311" s="17"/>
      <c r="U311" s="17"/>
      <c r="V311" s="17"/>
      <c r="W311" s="17"/>
    </row>
    <row r="312">
      <c r="T312" s="17"/>
      <c r="U312" s="17"/>
      <c r="V312" s="17"/>
      <c r="W312" s="17"/>
    </row>
    <row r="313">
      <c r="T313" s="17"/>
      <c r="U313" s="17"/>
      <c r="V313" s="17"/>
      <c r="W313" s="17"/>
    </row>
    <row r="314">
      <c r="T314" s="17"/>
      <c r="U314" s="17"/>
      <c r="V314" s="17"/>
      <c r="W314" s="17"/>
    </row>
    <row r="315">
      <c r="T315" s="17"/>
      <c r="U315" s="17"/>
      <c r="V315" s="17"/>
      <c r="W315" s="17"/>
    </row>
    <row r="316">
      <c r="T316" s="17"/>
      <c r="U316" s="17"/>
      <c r="V316" s="17"/>
      <c r="W316" s="17"/>
    </row>
    <row r="317">
      <c r="T317" s="17"/>
      <c r="U317" s="17"/>
      <c r="V317" s="17"/>
      <c r="W317" s="17"/>
    </row>
    <row r="318">
      <c r="T318" s="17"/>
      <c r="U318" s="17"/>
      <c r="V318" s="17"/>
      <c r="W318" s="17"/>
    </row>
    <row r="319">
      <c r="T319" s="17"/>
      <c r="U319" s="17"/>
      <c r="V319" s="17"/>
      <c r="W319" s="17"/>
    </row>
    <row r="320">
      <c r="T320" s="17"/>
      <c r="U320" s="17"/>
      <c r="V320" s="17"/>
      <c r="W320" s="17"/>
    </row>
    <row r="321">
      <c r="T321" s="17"/>
      <c r="U321" s="17"/>
      <c r="V321" s="17"/>
      <c r="W321" s="17"/>
    </row>
    <row r="322">
      <c r="T322" s="17"/>
      <c r="U322" s="17"/>
      <c r="V322" s="17"/>
      <c r="W322" s="17"/>
    </row>
    <row r="323">
      <c r="T323" s="17"/>
      <c r="U323" s="17"/>
      <c r="V323" s="17"/>
      <c r="W323" s="17"/>
    </row>
    <row r="324">
      <c r="T324" s="17"/>
      <c r="U324" s="17"/>
      <c r="V324" s="17"/>
      <c r="W324" s="17"/>
    </row>
    <row r="325">
      <c r="T325" s="17"/>
      <c r="U325" s="17"/>
      <c r="V325" s="17"/>
      <c r="W325" s="17"/>
    </row>
    <row r="326">
      <c r="T326" s="17"/>
      <c r="U326" s="17"/>
      <c r="V326" s="17"/>
      <c r="W326" s="17"/>
    </row>
    <row r="327">
      <c r="T327" s="17"/>
      <c r="U327" s="17"/>
      <c r="V327" s="17"/>
      <c r="W327" s="17"/>
    </row>
    <row r="328">
      <c r="T328" s="17"/>
      <c r="U328" s="17"/>
      <c r="V328" s="17"/>
      <c r="W328" s="17"/>
    </row>
    <row r="329">
      <c r="T329" s="17"/>
      <c r="U329" s="17"/>
      <c r="V329" s="17"/>
      <c r="W329" s="17"/>
    </row>
    <row r="330">
      <c r="T330" s="17"/>
      <c r="U330" s="17"/>
      <c r="V330" s="17"/>
      <c r="W330" s="17"/>
    </row>
    <row r="331">
      <c r="T331" s="17"/>
      <c r="U331" s="17"/>
      <c r="V331" s="17"/>
      <c r="W331" s="17"/>
    </row>
    <row r="332">
      <c r="T332" s="17"/>
      <c r="U332" s="17"/>
      <c r="V332" s="17"/>
      <c r="W332" s="17"/>
    </row>
    <row r="333">
      <c r="T333" s="17"/>
      <c r="U333" s="17"/>
      <c r="V333" s="17"/>
      <c r="W333" s="17"/>
    </row>
    <row r="334">
      <c r="T334" s="17"/>
      <c r="U334" s="17"/>
      <c r="V334" s="17"/>
      <c r="W334" s="17"/>
    </row>
    <row r="335">
      <c r="T335" s="17"/>
      <c r="U335" s="17"/>
      <c r="V335" s="17"/>
      <c r="W335" s="17"/>
    </row>
    <row r="336">
      <c r="T336" s="17"/>
      <c r="U336" s="17"/>
      <c r="V336" s="17"/>
      <c r="W336" s="17"/>
    </row>
    <row r="337">
      <c r="T337" s="17"/>
      <c r="U337" s="17"/>
      <c r="V337" s="17"/>
      <c r="W337" s="17"/>
    </row>
    <row r="338">
      <c r="T338" s="17"/>
      <c r="U338" s="17"/>
      <c r="V338" s="17"/>
      <c r="W338" s="17"/>
    </row>
    <row r="339">
      <c r="T339" s="17"/>
      <c r="U339" s="17"/>
      <c r="V339" s="17"/>
      <c r="W339" s="17"/>
    </row>
    <row r="340">
      <c r="T340" s="17"/>
      <c r="U340" s="17"/>
      <c r="V340" s="17"/>
      <c r="W340" s="17"/>
    </row>
    <row r="341">
      <c r="T341" s="17"/>
      <c r="U341" s="17"/>
      <c r="V341" s="17"/>
      <c r="W341" s="17"/>
    </row>
    <row r="342">
      <c r="T342" s="17"/>
      <c r="U342" s="17"/>
      <c r="V342" s="17"/>
      <c r="W342" s="17"/>
    </row>
    <row r="343">
      <c r="T343" s="17"/>
      <c r="U343" s="17"/>
      <c r="V343" s="17"/>
      <c r="W343" s="17"/>
    </row>
    <row r="344">
      <c r="T344" s="17"/>
      <c r="U344" s="17"/>
      <c r="V344" s="17"/>
      <c r="W344" s="17"/>
    </row>
    <row r="345">
      <c r="T345" s="17"/>
      <c r="U345" s="17"/>
      <c r="V345" s="17"/>
      <c r="W345" s="17"/>
    </row>
    <row r="346">
      <c r="T346" s="17"/>
      <c r="U346" s="17"/>
      <c r="V346" s="17"/>
      <c r="W346" s="17"/>
    </row>
    <row r="347">
      <c r="T347" s="17"/>
      <c r="U347" s="17"/>
      <c r="V347" s="17"/>
      <c r="W347" s="17"/>
    </row>
    <row r="348">
      <c r="T348" s="17"/>
      <c r="U348" s="17"/>
      <c r="V348" s="17"/>
      <c r="W348" s="17"/>
    </row>
    <row r="349">
      <c r="T349" s="17"/>
      <c r="U349" s="17"/>
      <c r="V349" s="17"/>
      <c r="W349" s="17"/>
    </row>
    <row r="350">
      <c r="T350" s="17"/>
      <c r="U350" s="17"/>
      <c r="V350" s="17"/>
      <c r="W350" s="17"/>
    </row>
    <row r="351">
      <c r="T351" s="17"/>
      <c r="U351" s="17"/>
      <c r="V351" s="17"/>
      <c r="W351" s="17"/>
    </row>
    <row r="352">
      <c r="T352" s="17"/>
      <c r="U352" s="17"/>
      <c r="V352" s="17"/>
      <c r="W352" s="17"/>
    </row>
    <row r="353">
      <c r="T353" s="17"/>
      <c r="U353" s="17"/>
      <c r="V353" s="17"/>
      <c r="W353" s="17"/>
    </row>
    <row r="354">
      <c r="T354" s="17"/>
      <c r="U354" s="17"/>
      <c r="V354" s="17"/>
      <c r="W354" s="17"/>
    </row>
    <row r="355">
      <c r="T355" s="17"/>
      <c r="U355" s="17"/>
      <c r="V355" s="17"/>
      <c r="W355" s="17"/>
    </row>
    <row r="356">
      <c r="T356" s="17"/>
      <c r="U356" s="17"/>
      <c r="V356" s="17"/>
      <c r="W356" s="17"/>
    </row>
    <row r="357">
      <c r="T357" s="17"/>
      <c r="U357" s="17"/>
      <c r="V357" s="17"/>
      <c r="W357" s="17"/>
    </row>
    <row r="358">
      <c r="T358" s="17"/>
      <c r="U358" s="17"/>
      <c r="V358" s="17"/>
      <c r="W358" s="17"/>
    </row>
    <row r="359">
      <c r="T359" s="17"/>
      <c r="U359" s="17"/>
      <c r="V359" s="17"/>
      <c r="W359" s="17"/>
    </row>
    <row r="360">
      <c r="T360" s="17"/>
      <c r="U360" s="17"/>
      <c r="V360" s="17"/>
      <c r="W360" s="17"/>
    </row>
    <row r="361">
      <c r="T361" s="17"/>
      <c r="U361" s="17"/>
      <c r="V361" s="17"/>
      <c r="W361" s="17"/>
    </row>
    <row r="362">
      <c r="T362" s="17"/>
      <c r="U362" s="17"/>
      <c r="V362" s="17"/>
      <c r="W362" s="17"/>
    </row>
    <row r="363">
      <c r="T363" s="17"/>
      <c r="U363" s="17"/>
      <c r="V363" s="17"/>
      <c r="W363" s="17"/>
    </row>
    <row r="364">
      <c r="T364" s="17"/>
      <c r="U364" s="17"/>
      <c r="V364" s="17"/>
      <c r="W364" s="17"/>
    </row>
    <row r="365">
      <c r="T365" s="17"/>
      <c r="U365" s="17"/>
      <c r="V365" s="17"/>
      <c r="W365" s="17"/>
    </row>
    <row r="366">
      <c r="T366" s="17"/>
      <c r="U366" s="17"/>
      <c r="V366" s="17"/>
      <c r="W366" s="17"/>
    </row>
    <row r="367">
      <c r="T367" s="17"/>
      <c r="U367" s="17"/>
      <c r="V367" s="17"/>
      <c r="W367" s="17"/>
    </row>
    <row r="368">
      <c r="T368" s="17"/>
      <c r="U368" s="17"/>
      <c r="V368" s="17"/>
      <c r="W368" s="17"/>
    </row>
    <row r="369">
      <c r="T369" s="17"/>
      <c r="U369" s="17"/>
      <c r="V369" s="17"/>
      <c r="W369" s="17"/>
    </row>
    <row r="370">
      <c r="T370" s="17"/>
      <c r="U370" s="17"/>
      <c r="V370" s="17"/>
      <c r="W370" s="17"/>
    </row>
    <row r="371">
      <c r="T371" s="17"/>
      <c r="U371" s="17"/>
      <c r="V371" s="17"/>
      <c r="W371" s="17"/>
    </row>
    <row r="372">
      <c r="T372" s="17"/>
      <c r="U372" s="17"/>
      <c r="V372" s="17"/>
      <c r="W372" s="17"/>
    </row>
    <row r="373">
      <c r="T373" s="17"/>
      <c r="U373" s="17"/>
      <c r="V373" s="17"/>
      <c r="W373" s="17"/>
    </row>
    <row r="374">
      <c r="T374" s="17"/>
      <c r="U374" s="17"/>
      <c r="V374" s="17"/>
      <c r="W374" s="17"/>
    </row>
    <row r="375">
      <c r="T375" s="17"/>
      <c r="U375" s="17"/>
      <c r="V375" s="17"/>
      <c r="W375" s="17"/>
    </row>
    <row r="376">
      <c r="T376" s="17"/>
      <c r="U376" s="17"/>
      <c r="V376" s="17"/>
      <c r="W376" s="17"/>
    </row>
    <row r="377">
      <c r="T377" s="17"/>
      <c r="U377" s="17"/>
      <c r="V377" s="17"/>
      <c r="W377" s="17"/>
    </row>
    <row r="378">
      <c r="T378" s="17"/>
      <c r="U378" s="17"/>
      <c r="V378" s="17"/>
      <c r="W378" s="17"/>
    </row>
    <row r="379">
      <c r="T379" s="17"/>
      <c r="U379" s="17"/>
      <c r="V379" s="17"/>
      <c r="W379" s="17"/>
    </row>
    <row r="380">
      <c r="T380" s="17"/>
      <c r="U380" s="17"/>
      <c r="V380" s="17"/>
      <c r="W380" s="17"/>
    </row>
    <row r="381">
      <c r="T381" s="17"/>
      <c r="U381" s="17"/>
      <c r="V381" s="17"/>
      <c r="W381" s="17"/>
    </row>
    <row r="382">
      <c r="T382" s="17"/>
      <c r="U382" s="17"/>
      <c r="V382" s="17"/>
      <c r="W382" s="17"/>
    </row>
    <row r="383">
      <c r="T383" s="17"/>
      <c r="U383" s="17"/>
      <c r="V383" s="17"/>
      <c r="W383" s="17"/>
    </row>
    <row r="384">
      <c r="T384" s="17"/>
      <c r="U384" s="17"/>
      <c r="V384" s="17"/>
      <c r="W384" s="17"/>
    </row>
    <row r="385">
      <c r="T385" s="17"/>
      <c r="U385" s="17"/>
      <c r="V385" s="17"/>
      <c r="W385" s="17"/>
    </row>
    <row r="386">
      <c r="T386" s="17"/>
      <c r="U386" s="17"/>
      <c r="V386" s="17"/>
      <c r="W386" s="17"/>
    </row>
    <row r="387">
      <c r="T387" s="17"/>
      <c r="U387" s="17"/>
      <c r="V387" s="17"/>
      <c r="W387" s="17"/>
    </row>
    <row r="388">
      <c r="T388" s="17"/>
      <c r="U388" s="17"/>
      <c r="V388" s="17"/>
      <c r="W388" s="17"/>
    </row>
    <row r="389">
      <c r="T389" s="17"/>
      <c r="U389" s="17"/>
      <c r="V389" s="17"/>
      <c r="W389" s="17"/>
    </row>
    <row r="390">
      <c r="T390" s="17"/>
      <c r="U390" s="17"/>
      <c r="V390" s="17"/>
      <c r="W390" s="17"/>
    </row>
    <row r="391">
      <c r="T391" s="17"/>
      <c r="U391" s="17"/>
      <c r="V391" s="17"/>
      <c r="W391" s="17"/>
    </row>
    <row r="392">
      <c r="T392" s="17"/>
      <c r="U392" s="17"/>
      <c r="V392" s="17"/>
      <c r="W392" s="17"/>
    </row>
    <row r="393">
      <c r="T393" s="17"/>
      <c r="U393" s="17"/>
      <c r="V393" s="17"/>
      <c r="W393" s="17"/>
    </row>
    <row r="394">
      <c r="T394" s="17"/>
      <c r="U394" s="17"/>
      <c r="V394" s="17"/>
      <c r="W394" s="17"/>
    </row>
    <row r="395">
      <c r="T395" s="17"/>
      <c r="U395" s="17"/>
      <c r="V395" s="17"/>
      <c r="W395" s="17"/>
    </row>
    <row r="396">
      <c r="T396" s="17"/>
      <c r="U396" s="17"/>
      <c r="V396" s="17"/>
      <c r="W396" s="17"/>
    </row>
    <row r="397">
      <c r="T397" s="17"/>
      <c r="U397" s="17"/>
      <c r="V397" s="17"/>
      <c r="W397" s="17"/>
    </row>
    <row r="398">
      <c r="T398" s="17"/>
      <c r="U398" s="17"/>
      <c r="V398" s="17"/>
      <c r="W398" s="17"/>
    </row>
    <row r="399">
      <c r="T399" s="17"/>
      <c r="U399" s="17"/>
      <c r="V399" s="17"/>
      <c r="W399" s="17"/>
    </row>
    <row r="400">
      <c r="T400" s="17"/>
      <c r="U400" s="17"/>
      <c r="V400" s="17"/>
      <c r="W400" s="17"/>
    </row>
    <row r="401">
      <c r="T401" s="17"/>
      <c r="U401" s="17"/>
      <c r="V401" s="17"/>
      <c r="W401" s="17"/>
    </row>
    <row r="402">
      <c r="T402" s="17"/>
      <c r="U402" s="17"/>
      <c r="V402" s="17"/>
      <c r="W402" s="17"/>
    </row>
    <row r="403">
      <c r="T403" s="17"/>
      <c r="U403" s="17"/>
      <c r="V403" s="17"/>
      <c r="W403" s="17"/>
    </row>
    <row r="404">
      <c r="T404" s="17"/>
      <c r="U404" s="17"/>
      <c r="V404" s="17"/>
      <c r="W404" s="17"/>
    </row>
    <row r="405">
      <c r="T405" s="17"/>
      <c r="U405" s="17"/>
      <c r="V405" s="17"/>
      <c r="W405" s="17"/>
    </row>
    <row r="406">
      <c r="T406" s="17"/>
      <c r="U406" s="17"/>
      <c r="V406" s="17"/>
      <c r="W406" s="17"/>
    </row>
    <row r="407">
      <c r="T407" s="17"/>
      <c r="U407" s="17"/>
      <c r="V407" s="17"/>
      <c r="W407" s="17"/>
    </row>
    <row r="408">
      <c r="T408" s="17"/>
      <c r="U408" s="17"/>
      <c r="V408" s="17"/>
      <c r="W408" s="17"/>
    </row>
    <row r="409">
      <c r="T409" s="17"/>
      <c r="U409" s="17"/>
      <c r="V409" s="17"/>
      <c r="W409" s="17"/>
    </row>
    <row r="410">
      <c r="T410" s="17"/>
      <c r="U410" s="17"/>
      <c r="V410" s="17"/>
      <c r="W410" s="17"/>
    </row>
    <row r="411">
      <c r="T411" s="17"/>
      <c r="U411" s="17"/>
      <c r="V411" s="17"/>
      <c r="W411" s="17"/>
    </row>
    <row r="412">
      <c r="T412" s="17"/>
      <c r="U412" s="17"/>
      <c r="V412" s="17"/>
      <c r="W412" s="17"/>
    </row>
    <row r="413">
      <c r="T413" s="17"/>
      <c r="U413" s="17"/>
      <c r="V413" s="17"/>
      <c r="W413" s="17"/>
    </row>
    <row r="414">
      <c r="T414" s="17"/>
      <c r="U414" s="17"/>
      <c r="V414" s="17"/>
      <c r="W414" s="17"/>
    </row>
    <row r="415">
      <c r="T415" s="17"/>
      <c r="U415" s="17"/>
      <c r="V415" s="17"/>
      <c r="W415" s="17"/>
    </row>
    <row r="416">
      <c r="T416" s="17"/>
      <c r="U416" s="17"/>
      <c r="V416" s="17"/>
      <c r="W416" s="17"/>
    </row>
    <row r="417">
      <c r="T417" s="17"/>
      <c r="U417" s="17"/>
      <c r="V417" s="17"/>
      <c r="W417" s="17"/>
    </row>
    <row r="418">
      <c r="T418" s="17"/>
      <c r="U418" s="17"/>
      <c r="V418" s="17"/>
      <c r="W418" s="17"/>
    </row>
    <row r="419">
      <c r="T419" s="17"/>
      <c r="U419" s="17"/>
      <c r="V419" s="17"/>
      <c r="W419" s="17"/>
    </row>
    <row r="420">
      <c r="T420" s="17"/>
      <c r="U420" s="17"/>
      <c r="V420" s="17"/>
      <c r="W420" s="17"/>
    </row>
    <row r="421">
      <c r="T421" s="17"/>
      <c r="U421" s="17"/>
      <c r="V421" s="17"/>
      <c r="W421" s="17"/>
    </row>
    <row r="422">
      <c r="T422" s="17"/>
      <c r="U422" s="17"/>
      <c r="V422" s="17"/>
      <c r="W422" s="17"/>
    </row>
    <row r="423">
      <c r="T423" s="17"/>
      <c r="U423" s="17"/>
      <c r="V423" s="17"/>
      <c r="W423" s="17"/>
    </row>
    <row r="424">
      <c r="T424" s="17"/>
      <c r="U424" s="17"/>
      <c r="V424" s="17"/>
      <c r="W424" s="17"/>
    </row>
    <row r="425">
      <c r="T425" s="17"/>
      <c r="U425" s="17"/>
      <c r="V425" s="17"/>
      <c r="W425" s="17"/>
    </row>
    <row r="426">
      <c r="T426" s="17"/>
      <c r="U426" s="17"/>
      <c r="V426" s="17"/>
      <c r="W426" s="17"/>
    </row>
    <row r="427">
      <c r="T427" s="17"/>
      <c r="U427" s="17"/>
      <c r="V427" s="17"/>
      <c r="W427" s="17"/>
    </row>
    <row r="428">
      <c r="T428" s="17"/>
      <c r="U428" s="17"/>
      <c r="V428" s="17"/>
      <c r="W428" s="17"/>
    </row>
    <row r="429">
      <c r="T429" s="17"/>
      <c r="U429" s="17"/>
      <c r="V429" s="17"/>
      <c r="W429" s="17"/>
    </row>
    <row r="430">
      <c r="T430" s="17"/>
      <c r="U430" s="17"/>
      <c r="V430" s="17"/>
      <c r="W430" s="17"/>
    </row>
    <row r="431">
      <c r="T431" s="17"/>
      <c r="U431" s="17"/>
      <c r="V431" s="17"/>
      <c r="W431" s="17"/>
    </row>
    <row r="432">
      <c r="T432" s="17"/>
      <c r="U432" s="17"/>
      <c r="V432" s="17"/>
      <c r="W432" s="17"/>
    </row>
    <row r="433">
      <c r="T433" s="17"/>
      <c r="U433" s="17"/>
      <c r="V433" s="17"/>
      <c r="W433" s="17"/>
    </row>
    <row r="434">
      <c r="T434" s="17"/>
      <c r="U434" s="17"/>
      <c r="V434" s="17"/>
      <c r="W434" s="17"/>
    </row>
    <row r="435">
      <c r="T435" s="17"/>
      <c r="U435" s="17"/>
      <c r="V435" s="17"/>
      <c r="W435" s="17"/>
    </row>
    <row r="436">
      <c r="T436" s="17"/>
      <c r="U436" s="17"/>
      <c r="V436" s="17"/>
      <c r="W436" s="17"/>
    </row>
    <row r="437">
      <c r="T437" s="17"/>
      <c r="U437" s="17"/>
      <c r="V437" s="17"/>
      <c r="W437" s="17"/>
    </row>
    <row r="438">
      <c r="T438" s="17"/>
      <c r="U438" s="17"/>
      <c r="V438" s="17"/>
      <c r="W438" s="17"/>
    </row>
    <row r="439">
      <c r="T439" s="17"/>
      <c r="U439" s="17"/>
      <c r="V439" s="17"/>
      <c r="W439" s="17"/>
    </row>
    <row r="440">
      <c r="T440" s="17"/>
      <c r="U440" s="17"/>
      <c r="V440" s="17"/>
      <c r="W440" s="17"/>
    </row>
    <row r="441">
      <c r="T441" s="17"/>
      <c r="U441" s="17"/>
      <c r="V441" s="17"/>
      <c r="W441" s="17"/>
    </row>
    <row r="442">
      <c r="T442" s="17"/>
      <c r="U442" s="17"/>
      <c r="V442" s="17"/>
      <c r="W442" s="17"/>
    </row>
    <row r="443">
      <c r="T443" s="17"/>
      <c r="U443" s="17"/>
      <c r="V443" s="17"/>
      <c r="W443" s="17"/>
    </row>
    <row r="444">
      <c r="T444" s="17"/>
      <c r="U444" s="17"/>
      <c r="V444" s="17"/>
      <c r="W444" s="17"/>
    </row>
    <row r="445">
      <c r="T445" s="17"/>
      <c r="U445" s="17"/>
      <c r="V445" s="17"/>
      <c r="W445" s="17"/>
    </row>
    <row r="446">
      <c r="T446" s="17"/>
      <c r="U446" s="17"/>
      <c r="V446" s="17"/>
      <c r="W446" s="17"/>
    </row>
    <row r="447">
      <c r="T447" s="17"/>
      <c r="U447" s="17"/>
      <c r="V447" s="17"/>
      <c r="W447" s="17"/>
    </row>
    <row r="448">
      <c r="T448" s="17"/>
      <c r="U448" s="17"/>
      <c r="V448" s="17"/>
      <c r="W448" s="17"/>
    </row>
    <row r="449">
      <c r="T449" s="17"/>
      <c r="U449" s="17"/>
      <c r="V449" s="17"/>
      <c r="W449" s="17"/>
    </row>
    <row r="450">
      <c r="T450" s="17"/>
      <c r="U450" s="17"/>
      <c r="V450" s="17"/>
      <c r="W450" s="17"/>
    </row>
    <row r="451">
      <c r="T451" s="17"/>
      <c r="U451" s="17"/>
      <c r="V451" s="17"/>
      <c r="W451" s="17"/>
    </row>
    <row r="452">
      <c r="T452" s="17"/>
      <c r="U452" s="17"/>
      <c r="V452" s="17"/>
      <c r="W452" s="17"/>
    </row>
    <row r="453">
      <c r="T453" s="17"/>
      <c r="U453" s="17"/>
      <c r="V453" s="17"/>
      <c r="W453" s="17"/>
    </row>
    <row r="454">
      <c r="T454" s="17"/>
      <c r="U454" s="17"/>
      <c r="V454" s="17"/>
      <c r="W454" s="17"/>
    </row>
    <row r="455">
      <c r="T455" s="17"/>
      <c r="U455" s="17"/>
      <c r="V455" s="17"/>
      <c r="W455" s="17"/>
    </row>
    <row r="456">
      <c r="T456" s="17"/>
      <c r="U456" s="17"/>
      <c r="V456" s="17"/>
      <c r="W456" s="17"/>
    </row>
    <row r="457">
      <c r="T457" s="17"/>
      <c r="U457" s="17"/>
      <c r="V457" s="17"/>
      <c r="W457" s="17"/>
    </row>
    <row r="458">
      <c r="T458" s="17"/>
      <c r="U458" s="17"/>
      <c r="V458" s="17"/>
      <c r="W458" s="17"/>
    </row>
    <row r="459">
      <c r="T459" s="17"/>
      <c r="U459" s="17"/>
      <c r="V459" s="17"/>
      <c r="W459" s="17"/>
    </row>
    <row r="460">
      <c r="T460" s="17"/>
      <c r="U460" s="17"/>
      <c r="V460" s="17"/>
      <c r="W460" s="17"/>
    </row>
    <row r="461">
      <c r="T461" s="17"/>
      <c r="U461" s="17"/>
      <c r="V461" s="17"/>
      <c r="W461" s="17"/>
    </row>
    <row r="462">
      <c r="T462" s="17"/>
      <c r="U462" s="17"/>
      <c r="V462" s="17"/>
      <c r="W462" s="17"/>
    </row>
    <row r="463">
      <c r="T463" s="17"/>
      <c r="U463" s="17"/>
      <c r="V463" s="17"/>
      <c r="W463" s="17"/>
    </row>
    <row r="464">
      <c r="T464" s="17"/>
      <c r="U464" s="17"/>
      <c r="V464" s="17"/>
      <c r="W464" s="17"/>
    </row>
    <row r="465">
      <c r="T465" s="17"/>
      <c r="U465" s="17"/>
      <c r="V465" s="17"/>
      <c r="W465" s="17"/>
    </row>
    <row r="466">
      <c r="T466" s="17"/>
      <c r="U466" s="17"/>
      <c r="V466" s="17"/>
      <c r="W466" s="17"/>
    </row>
    <row r="467">
      <c r="T467" s="17"/>
      <c r="U467" s="17"/>
      <c r="V467" s="17"/>
      <c r="W467" s="17"/>
    </row>
    <row r="468">
      <c r="T468" s="17"/>
      <c r="U468" s="17"/>
      <c r="V468" s="17"/>
      <c r="W468" s="17"/>
    </row>
    <row r="469">
      <c r="T469" s="17"/>
      <c r="U469" s="17"/>
      <c r="V469" s="17"/>
      <c r="W469" s="17"/>
    </row>
    <row r="470">
      <c r="T470" s="17"/>
      <c r="U470" s="17"/>
      <c r="V470" s="17"/>
      <c r="W470" s="17"/>
    </row>
    <row r="471">
      <c r="T471" s="17"/>
      <c r="U471" s="17"/>
      <c r="V471" s="17"/>
      <c r="W471" s="17"/>
    </row>
    <row r="472">
      <c r="T472" s="17"/>
      <c r="U472" s="17"/>
      <c r="V472" s="17"/>
      <c r="W472" s="17"/>
    </row>
    <row r="473">
      <c r="T473" s="17"/>
      <c r="U473" s="17"/>
      <c r="V473" s="17"/>
      <c r="W473" s="17"/>
    </row>
    <row r="474">
      <c r="T474" s="17"/>
      <c r="U474" s="17"/>
      <c r="V474" s="17"/>
      <c r="W474" s="17"/>
    </row>
    <row r="475">
      <c r="T475" s="17"/>
      <c r="U475" s="17"/>
      <c r="V475" s="17"/>
      <c r="W475" s="17"/>
    </row>
    <row r="476">
      <c r="T476" s="17"/>
      <c r="U476" s="17"/>
      <c r="V476" s="17"/>
      <c r="W476" s="17"/>
    </row>
    <row r="477">
      <c r="T477" s="17"/>
      <c r="U477" s="17"/>
      <c r="V477" s="17"/>
      <c r="W477" s="17"/>
    </row>
    <row r="478">
      <c r="T478" s="17"/>
      <c r="U478" s="17"/>
      <c r="V478" s="17"/>
      <c r="W478" s="17"/>
    </row>
    <row r="479">
      <c r="T479" s="17"/>
      <c r="U479" s="17"/>
      <c r="V479" s="17"/>
      <c r="W479" s="17"/>
    </row>
    <row r="480">
      <c r="T480" s="17"/>
      <c r="U480" s="17"/>
      <c r="V480" s="17"/>
      <c r="W480" s="17"/>
    </row>
    <row r="481">
      <c r="T481" s="17"/>
      <c r="U481" s="17"/>
      <c r="V481" s="17"/>
      <c r="W481" s="17"/>
    </row>
    <row r="482">
      <c r="T482" s="17"/>
      <c r="U482" s="17"/>
      <c r="V482" s="17"/>
      <c r="W482" s="17"/>
    </row>
    <row r="483">
      <c r="T483" s="17"/>
      <c r="U483" s="17"/>
      <c r="V483" s="17"/>
      <c r="W483" s="17"/>
    </row>
    <row r="484">
      <c r="T484" s="17"/>
      <c r="U484" s="17"/>
      <c r="V484" s="17"/>
      <c r="W484" s="17"/>
    </row>
    <row r="485">
      <c r="T485" s="17"/>
      <c r="U485" s="17"/>
      <c r="V485" s="17"/>
      <c r="W485" s="17"/>
    </row>
    <row r="486">
      <c r="T486" s="17"/>
      <c r="U486" s="17"/>
      <c r="V486" s="17"/>
      <c r="W486" s="17"/>
    </row>
    <row r="487">
      <c r="T487" s="17"/>
      <c r="U487" s="17"/>
      <c r="V487" s="17"/>
      <c r="W487" s="17"/>
    </row>
    <row r="488">
      <c r="T488" s="17"/>
      <c r="U488" s="17"/>
      <c r="V488" s="17"/>
      <c r="W488" s="17"/>
    </row>
    <row r="489">
      <c r="T489" s="17"/>
      <c r="U489" s="17"/>
      <c r="V489" s="17"/>
      <c r="W489" s="17"/>
    </row>
    <row r="490">
      <c r="T490" s="17"/>
      <c r="U490" s="17"/>
      <c r="V490" s="17"/>
      <c r="W490" s="17"/>
    </row>
    <row r="491">
      <c r="T491" s="17"/>
      <c r="U491" s="17"/>
      <c r="V491" s="17"/>
      <c r="W491" s="17"/>
    </row>
    <row r="492">
      <c r="T492" s="17"/>
      <c r="U492" s="17"/>
      <c r="V492" s="17"/>
      <c r="W492" s="17"/>
    </row>
    <row r="493">
      <c r="T493" s="17"/>
      <c r="U493" s="17"/>
      <c r="V493" s="17"/>
      <c r="W493" s="17"/>
    </row>
    <row r="494">
      <c r="T494" s="17"/>
      <c r="U494" s="17"/>
      <c r="V494" s="17"/>
      <c r="W494" s="17"/>
    </row>
    <row r="495">
      <c r="T495" s="17"/>
      <c r="U495" s="17"/>
      <c r="V495" s="17"/>
      <c r="W495" s="17"/>
    </row>
    <row r="496">
      <c r="T496" s="17"/>
      <c r="U496" s="17"/>
      <c r="V496" s="17"/>
      <c r="W496" s="17"/>
    </row>
    <row r="497">
      <c r="T497" s="17"/>
      <c r="U497" s="17"/>
      <c r="V497" s="17"/>
      <c r="W497" s="17"/>
    </row>
    <row r="498">
      <c r="T498" s="17"/>
      <c r="U498" s="17"/>
      <c r="V498" s="17"/>
      <c r="W498" s="17"/>
    </row>
    <row r="499">
      <c r="T499" s="17"/>
      <c r="U499" s="17"/>
      <c r="V499" s="17"/>
      <c r="W499" s="17"/>
    </row>
    <row r="500">
      <c r="T500" s="17"/>
      <c r="U500" s="17"/>
      <c r="V500" s="17"/>
      <c r="W500" s="17"/>
    </row>
    <row r="501">
      <c r="T501" s="17"/>
      <c r="U501" s="17"/>
      <c r="V501" s="17"/>
      <c r="W501" s="17"/>
    </row>
    <row r="502">
      <c r="T502" s="17"/>
      <c r="U502" s="17"/>
      <c r="V502" s="17"/>
      <c r="W502" s="17"/>
    </row>
    <row r="503">
      <c r="T503" s="17"/>
      <c r="U503" s="17"/>
      <c r="V503" s="17"/>
      <c r="W503" s="17"/>
    </row>
    <row r="504">
      <c r="T504" s="17"/>
      <c r="U504" s="17"/>
      <c r="V504" s="17"/>
      <c r="W504" s="17"/>
    </row>
    <row r="505">
      <c r="T505" s="17"/>
      <c r="U505" s="17"/>
      <c r="V505" s="17"/>
      <c r="W505" s="17"/>
    </row>
    <row r="506">
      <c r="T506" s="17"/>
      <c r="U506" s="17"/>
      <c r="V506" s="17"/>
      <c r="W506" s="17"/>
    </row>
    <row r="507">
      <c r="T507" s="17"/>
      <c r="U507" s="17"/>
      <c r="V507" s="17"/>
      <c r="W507" s="17"/>
    </row>
    <row r="508">
      <c r="T508" s="17"/>
      <c r="U508" s="17"/>
      <c r="V508" s="17"/>
      <c r="W508" s="17"/>
    </row>
    <row r="509">
      <c r="T509" s="17"/>
      <c r="U509" s="17"/>
      <c r="V509" s="17"/>
      <c r="W509" s="17"/>
    </row>
    <row r="510">
      <c r="T510" s="17"/>
      <c r="U510" s="17"/>
      <c r="V510" s="17"/>
      <c r="W510" s="17"/>
    </row>
    <row r="511">
      <c r="T511" s="17"/>
      <c r="U511" s="17"/>
      <c r="V511" s="17"/>
      <c r="W511" s="17"/>
    </row>
    <row r="512">
      <c r="T512" s="17"/>
      <c r="U512" s="17"/>
      <c r="V512" s="17"/>
      <c r="W512" s="17"/>
    </row>
    <row r="513">
      <c r="T513" s="17"/>
      <c r="U513" s="17"/>
      <c r="V513" s="17"/>
      <c r="W513" s="17"/>
    </row>
    <row r="514">
      <c r="T514" s="17"/>
      <c r="U514" s="17"/>
      <c r="V514" s="17"/>
      <c r="W514" s="17"/>
    </row>
    <row r="515">
      <c r="T515" s="17"/>
      <c r="U515" s="17"/>
      <c r="V515" s="17"/>
      <c r="W515" s="17"/>
    </row>
    <row r="516">
      <c r="T516" s="17"/>
      <c r="U516" s="17"/>
      <c r="V516" s="17"/>
      <c r="W516" s="17"/>
    </row>
    <row r="517">
      <c r="T517" s="17"/>
      <c r="U517" s="17"/>
      <c r="V517" s="17"/>
      <c r="W517" s="17"/>
    </row>
    <row r="518">
      <c r="T518" s="17"/>
      <c r="U518" s="17"/>
      <c r="V518" s="17"/>
      <c r="W518" s="17"/>
    </row>
    <row r="519">
      <c r="T519" s="17"/>
      <c r="U519" s="17"/>
      <c r="V519" s="17"/>
      <c r="W519" s="17"/>
    </row>
    <row r="520">
      <c r="T520" s="17"/>
      <c r="U520" s="17"/>
      <c r="V520" s="17"/>
      <c r="W520" s="17"/>
    </row>
    <row r="521">
      <c r="T521" s="17"/>
      <c r="U521" s="17"/>
      <c r="V521" s="17"/>
      <c r="W521" s="17"/>
    </row>
    <row r="522">
      <c r="T522" s="17"/>
      <c r="U522" s="17"/>
      <c r="V522" s="17"/>
      <c r="W522" s="17"/>
    </row>
    <row r="523">
      <c r="T523" s="17"/>
      <c r="U523" s="17"/>
      <c r="V523" s="17"/>
      <c r="W523" s="17"/>
    </row>
    <row r="524">
      <c r="T524" s="17"/>
      <c r="U524" s="17"/>
      <c r="V524" s="17"/>
      <c r="W524" s="17"/>
    </row>
    <row r="525">
      <c r="T525" s="17"/>
      <c r="U525" s="17"/>
      <c r="V525" s="17"/>
      <c r="W525" s="17"/>
    </row>
    <row r="526">
      <c r="T526" s="17"/>
      <c r="U526" s="17"/>
      <c r="V526" s="17"/>
      <c r="W526" s="17"/>
    </row>
    <row r="527">
      <c r="T527" s="17"/>
      <c r="U527" s="17"/>
      <c r="V527" s="17"/>
      <c r="W527" s="17"/>
    </row>
    <row r="528">
      <c r="T528" s="17"/>
      <c r="U528" s="17"/>
      <c r="V528" s="17"/>
      <c r="W528" s="17"/>
    </row>
    <row r="529">
      <c r="T529" s="17"/>
      <c r="U529" s="17"/>
      <c r="V529" s="17"/>
      <c r="W529" s="17"/>
    </row>
    <row r="530">
      <c r="T530" s="17"/>
      <c r="U530" s="17"/>
      <c r="V530" s="17"/>
      <c r="W530" s="17"/>
    </row>
    <row r="531">
      <c r="T531" s="17"/>
      <c r="U531" s="17"/>
      <c r="V531" s="17"/>
      <c r="W531" s="17"/>
    </row>
    <row r="532">
      <c r="T532" s="17"/>
      <c r="U532" s="17"/>
      <c r="V532" s="17"/>
      <c r="W532" s="17"/>
    </row>
    <row r="533">
      <c r="T533" s="17"/>
      <c r="U533" s="17"/>
      <c r="V533" s="17"/>
      <c r="W533" s="17"/>
    </row>
    <row r="534">
      <c r="T534" s="17"/>
      <c r="U534" s="17"/>
      <c r="V534" s="17"/>
      <c r="W534" s="17"/>
    </row>
    <row r="535">
      <c r="T535" s="17"/>
      <c r="U535" s="17"/>
      <c r="V535" s="17"/>
      <c r="W535" s="17"/>
    </row>
    <row r="536">
      <c r="T536" s="17"/>
      <c r="U536" s="17"/>
      <c r="V536" s="17"/>
      <c r="W536" s="17"/>
    </row>
    <row r="537">
      <c r="T537" s="17"/>
      <c r="U537" s="17"/>
      <c r="V537" s="17"/>
      <c r="W537" s="17"/>
    </row>
    <row r="538">
      <c r="T538" s="17"/>
      <c r="U538" s="17"/>
      <c r="V538" s="17"/>
      <c r="W538" s="17"/>
    </row>
    <row r="539">
      <c r="T539" s="17"/>
      <c r="U539" s="17"/>
      <c r="V539" s="17"/>
      <c r="W539" s="17"/>
    </row>
    <row r="540">
      <c r="T540" s="17"/>
      <c r="U540" s="17"/>
      <c r="V540" s="17"/>
      <c r="W540" s="17"/>
    </row>
    <row r="541">
      <c r="T541" s="17"/>
      <c r="U541" s="17"/>
      <c r="V541" s="17"/>
      <c r="W541" s="17"/>
    </row>
    <row r="542">
      <c r="T542" s="17"/>
      <c r="U542" s="17"/>
      <c r="V542" s="17"/>
      <c r="W542" s="17"/>
    </row>
    <row r="543">
      <c r="T543" s="17"/>
      <c r="U543" s="17"/>
      <c r="V543" s="17"/>
      <c r="W543" s="17"/>
    </row>
    <row r="544">
      <c r="T544" s="17"/>
      <c r="U544" s="17"/>
      <c r="V544" s="17"/>
      <c r="W544" s="17"/>
    </row>
    <row r="545">
      <c r="T545" s="17"/>
      <c r="U545" s="17"/>
      <c r="V545" s="17"/>
      <c r="W545" s="17"/>
    </row>
    <row r="546">
      <c r="T546" s="17"/>
      <c r="U546" s="17"/>
      <c r="V546" s="17"/>
      <c r="W546" s="17"/>
    </row>
    <row r="547">
      <c r="T547" s="17"/>
      <c r="U547" s="17"/>
      <c r="V547" s="17"/>
      <c r="W547" s="17"/>
    </row>
    <row r="548">
      <c r="T548" s="17"/>
      <c r="U548" s="17"/>
      <c r="V548" s="17"/>
      <c r="W548" s="17"/>
    </row>
    <row r="549">
      <c r="T549" s="17"/>
      <c r="U549" s="17"/>
      <c r="V549" s="17"/>
      <c r="W549" s="17"/>
    </row>
    <row r="550">
      <c r="T550" s="17"/>
      <c r="U550" s="17"/>
      <c r="V550" s="17"/>
      <c r="W550" s="17"/>
    </row>
    <row r="551">
      <c r="T551" s="17"/>
      <c r="U551" s="17"/>
      <c r="V551" s="17"/>
      <c r="W551" s="17"/>
    </row>
    <row r="552">
      <c r="T552" s="17"/>
      <c r="U552" s="17"/>
      <c r="V552" s="17"/>
      <c r="W552" s="17"/>
    </row>
    <row r="553">
      <c r="T553" s="17"/>
      <c r="U553" s="17"/>
      <c r="V553" s="17"/>
      <c r="W553" s="17"/>
    </row>
    <row r="554">
      <c r="T554" s="17"/>
      <c r="U554" s="17"/>
      <c r="V554" s="17"/>
      <c r="W554" s="17"/>
    </row>
    <row r="555">
      <c r="T555" s="17"/>
      <c r="U555" s="17"/>
      <c r="V555" s="17"/>
      <c r="W555" s="17"/>
    </row>
    <row r="556">
      <c r="T556" s="17"/>
      <c r="U556" s="17"/>
      <c r="V556" s="17"/>
      <c r="W556" s="17"/>
    </row>
    <row r="557">
      <c r="T557" s="17"/>
      <c r="U557" s="17"/>
      <c r="V557" s="17"/>
      <c r="W557" s="17"/>
    </row>
    <row r="558">
      <c r="T558" s="17"/>
      <c r="U558" s="17"/>
      <c r="V558" s="17"/>
      <c r="W558" s="17"/>
    </row>
    <row r="559">
      <c r="T559" s="17"/>
      <c r="U559" s="17"/>
      <c r="V559" s="17"/>
      <c r="W559" s="17"/>
    </row>
    <row r="560">
      <c r="T560" s="17"/>
      <c r="U560" s="17"/>
      <c r="V560" s="17"/>
      <c r="W560" s="17"/>
    </row>
    <row r="561">
      <c r="T561" s="17"/>
      <c r="U561" s="17"/>
      <c r="V561" s="17"/>
      <c r="W561" s="17"/>
    </row>
    <row r="562">
      <c r="T562" s="17"/>
      <c r="U562" s="17"/>
      <c r="V562" s="17"/>
      <c r="W562" s="17"/>
    </row>
    <row r="563">
      <c r="T563" s="17"/>
      <c r="U563" s="17"/>
      <c r="V563" s="17"/>
      <c r="W563" s="17"/>
    </row>
    <row r="564">
      <c r="T564" s="17"/>
      <c r="U564" s="17"/>
      <c r="V564" s="17"/>
      <c r="W564" s="17"/>
    </row>
    <row r="565">
      <c r="T565" s="17"/>
      <c r="U565" s="17"/>
      <c r="V565" s="17"/>
      <c r="W565" s="17"/>
    </row>
    <row r="566">
      <c r="T566" s="17"/>
      <c r="U566" s="17"/>
      <c r="V566" s="17"/>
      <c r="W566" s="17"/>
    </row>
    <row r="567">
      <c r="T567" s="17"/>
      <c r="U567" s="17"/>
      <c r="V567" s="17"/>
      <c r="W567" s="17"/>
    </row>
    <row r="568">
      <c r="T568" s="17"/>
      <c r="U568" s="17"/>
      <c r="V568" s="17"/>
      <c r="W568" s="17"/>
    </row>
    <row r="569">
      <c r="T569" s="17"/>
      <c r="U569" s="17"/>
      <c r="V569" s="17"/>
      <c r="W569" s="17"/>
    </row>
    <row r="570">
      <c r="T570" s="17"/>
      <c r="U570" s="17"/>
      <c r="V570" s="17"/>
      <c r="W570" s="17"/>
    </row>
    <row r="571">
      <c r="T571" s="17"/>
      <c r="U571" s="17"/>
      <c r="V571" s="17"/>
      <c r="W571" s="17"/>
    </row>
    <row r="572">
      <c r="T572" s="17"/>
      <c r="U572" s="17"/>
      <c r="V572" s="17"/>
      <c r="W572" s="17"/>
    </row>
    <row r="573">
      <c r="T573" s="17"/>
      <c r="U573" s="17"/>
      <c r="V573" s="17"/>
      <c r="W573" s="17"/>
    </row>
    <row r="574">
      <c r="T574" s="17"/>
      <c r="U574" s="17"/>
      <c r="V574" s="17"/>
      <c r="W574" s="17"/>
    </row>
    <row r="575">
      <c r="T575" s="17"/>
      <c r="U575" s="17"/>
      <c r="V575" s="17"/>
      <c r="W575" s="17"/>
    </row>
    <row r="576">
      <c r="T576" s="17"/>
      <c r="U576" s="17"/>
      <c r="V576" s="17"/>
      <c r="W576" s="17"/>
    </row>
    <row r="577">
      <c r="T577" s="17"/>
      <c r="U577" s="17"/>
      <c r="V577" s="17"/>
      <c r="W577" s="17"/>
    </row>
    <row r="578">
      <c r="T578" s="17"/>
      <c r="U578" s="17"/>
      <c r="V578" s="17"/>
      <c r="W578" s="17"/>
    </row>
    <row r="579">
      <c r="T579" s="17"/>
      <c r="U579" s="17"/>
      <c r="V579" s="17"/>
      <c r="W579" s="17"/>
    </row>
    <row r="580">
      <c r="T580" s="17"/>
      <c r="U580" s="17"/>
      <c r="V580" s="17"/>
      <c r="W580" s="17"/>
    </row>
    <row r="581">
      <c r="T581" s="17"/>
      <c r="U581" s="17"/>
      <c r="V581" s="17"/>
      <c r="W581" s="17"/>
    </row>
    <row r="582">
      <c r="T582" s="17"/>
      <c r="U582" s="17"/>
      <c r="V582" s="17"/>
      <c r="W582" s="17"/>
    </row>
    <row r="583">
      <c r="T583" s="17"/>
      <c r="U583" s="17"/>
      <c r="V583" s="17"/>
      <c r="W583" s="17"/>
    </row>
    <row r="584">
      <c r="T584" s="17"/>
      <c r="U584" s="17"/>
      <c r="V584" s="17"/>
      <c r="W584" s="17"/>
    </row>
    <row r="585">
      <c r="T585" s="17"/>
      <c r="U585" s="17"/>
      <c r="V585" s="17"/>
      <c r="W585" s="17"/>
    </row>
    <row r="586">
      <c r="T586" s="17"/>
      <c r="U586" s="17"/>
      <c r="V586" s="17"/>
      <c r="W586" s="17"/>
    </row>
    <row r="587">
      <c r="T587" s="17"/>
      <c r="U587" s="17"/>
      <c r="V587" s="17"/>
      <c r="W587" s="17"/>
    </row>
    <row r="588">
      <c r="T588" s="17"/>
      <c r="U588" s="17"/>
      <c r="V588" s="17"/>
      <c r="W588" s="17"/>
    </row>
    <row r="589">
      <c r="T589" s="17"/>
      <c r="U589" s="17"/>
      <c r="V589" s="17"/>
      <c r="W589" s="17"/>
    </row>
    <row r="590">
      <c r="T590" s="17"/>
      <c r="U590" s="17"/>
      <c r="V590" s="17"/>
      <c r="W590" s="17"/>
    </row>
    <row r="591">
      <c r="T591" s="17"/>
      <c r="U591" s="17"/>
      <c r="V591" s="17"/>
      <c r="W591" s="17"/>
    </row>
    <row r="592">
      <c r="T592" s="17"/>
      <c r="U592" s="17"/>
      <c r="V592" s="17"/>
      <c r="W592" s="17"/>
    </row>
    <row r="593">
      <c r="T593" s="17"/>
      <c r="U593" s="17"/>
      <c r="V593" s="17"/>
      <c r="W593" s="17"/>
    </row>
    <row r="594">
      <c r="T594" s="17"/>
      <c r="U594" s="17"/>
      <c r="V594" s="17"/>
      <c r="W594" s="17"/>
    </row>
    <row r="595">
      <c r="T595" s="17"/>
      <c r="U595" s="17"/>
      <c r="V595" s="17"/>
      <c r="W595" s="17"/>
    </row>
    <row r="596">
      <c r="T596" s="17"/>
      <c r="U596" s="17"/>
      <c r="V596" s="17"/>
      <c r="W596" s="17"/>
    </row>
    <row r="597">
      <c r="T597" s="17"/>
      <c r="U597" s="17"/>
      <c r="V597" s="17"/>
      <c r="W597" s="17"/>
    </row>
    <row r="598">
      <c r="T598" s="17"/>
      <c r="U598" s="17"/>
      <c r="V598" s="17"/>
      <c r="W598" s="17"/>
    </row>
    <row r="599">
      <c r="T599" s="17"/>
      <c r="U599" s="17"/>
      <c r="V599" s="17"/>
      <c r="W599" s="17"/>
    </row>
    <row r="600">
      <c r="T600" s="17"/>
      <c r="U600" s="17"/>
      <c r="V600" s="17"/>
      <c r="W600" s="17"/>
    </row>
    <row r="601">
      <c r="T601" s="17"/>
      <c r="U601" s="17"/>
      <c r="V601" s="17"/>
      <c r="W601" s="17"/>
    </row>
    <row r="602">
      <c r="T602" s="17"/>
      <c r="U602" s="17"/>
      <c r="V602" s="17"/>
      <c r="W602" s="17"/>
    </row>
    <row r="603">
      <c r="T603" s="17"/>
      <c r="U603" s="17"/>
      <c r="V603" s="17"/>
      <c r="W603" s="17"/>
    </row>
    <row r="604">
      <c r="T604" s="17"/>
      <c r="U604" s="17"/>
      <c r="V604" s="17"/>
      <c r="W604" s="17"/>
    </row>
    <row r="605">
      <c r="T605" s="17"/>
      <c r="U605" s="17"/>
      <c r="V605" s="17"/>
      <c r="W605" s="17"/>
    </row>
    <row r="606">
      <c r="T606" s="17"/>
      <c r="U606" s="17"/>
      <c r="V606" s="17"/>
      <c r="W606" s="17"/>
    </row>
    <row r="607">
      <c r="T607" s="17"/>
      <c r="U607" s="17"/>
      <c r="V607" s="17"/>
      <c r="W607" s="17"/>
    </row>
    <row r="608">
      <c r="T608" s="17"/>
      <c r="U608" s="17"/>
      <c r="V608" s="17"/>
      <c r="W608" s="17"/>
    </row>
    <row r="609">
      <c r="T609" s="17"/>
      <c r="U609" s="17"/>
      <c r="V609" s="17"/>
      <c r="W609" s="17"/>
    </row>
    <row r="610">
      <c r="T610" s="17"/>
      <c r="U610" s="17"/>
      <c r="V610" s="17"/>
      <c r="W610" s="17"/>
    </row>
    <row r="611">
      <c r="T611" s="17"/>
      <c r="U611" s="17"/>
      <c r="V611" s="17"/>
      <c r="W611" s="17"/>
    </row>
    <row r="612">
      <c r="T612" s="17"/>
      <c r="U612" s="17"/>
      <c r="V612" s="17"/>
      <c r="W612" s="17"/>
    </row>
    <row r="613">
      <c r="T613" s="17"/>
      <c r="U613" s="17"/>
      <c r="V613" s="17"/>
      <c r="W613" s="17"/>
    </row>
    <row r="614">
      <c r="T614" s="17"/>
      <c r="U614" s="17"/>
      <c r="V614" s="17"/>
      <c r="W614" s="17"/>
    </row>
    <row r="615">
      <c r="T615" s="17"/>
      <c r="U615" s="17"/>
      <c r="V615" s="17"/>
      <c r="W615" s="17"/>
    </row>
    <row r="616">
      <c r="T616" s="17"/>
      <c r="U616" s="17"/>
      <c r="V616" s="17"/>
      <c r="W616" s="17"/>
    </row>
    <row r="617">
      <c r="T617" s="17"/>
      <c r="U617" s="17"/>
      <c r="V617" s="17"/>
      <c r="W617" s="17"/>
    </row>
    <row r="618">
      <c r="T618" s="17"/>
      <c r="U618" s="17"/>
      <c r="V618" s="17"/>
      <c r="W618" s="17"/>
    </row>
    <row r="619">
      <c r="T619" s="17"/>
      <c r="U619" s="17"/>
      <c r="V619" s="17"/>
      <c r="W619" s="17"/>
    </row>
    <row r="620">
      <c r="T620" s="17"/>
      <c r="U620" s="17"/>
      <c r="V620" s="17"/>
      <c r="W620" s="17"/>
    </row>
    <row r="621">
      <c r="T621" s="17"/>
      <c r="U621" s="17"/>
      <c r="V621" s="17"/>
      <c r="W621" s="17"/>
    </row>
    <row r="622">
      <c r="T622" s="17"/>
      <c r="U622" s="17"/>
      <c r="V622" s="17"/>
      <c r="W622" s="17"/>
    </row>
    <row r="623">
      <c r="T623" s="17"/>
      <c r="U623" s="17"/>
      <c r="V623" s="17"/>
      <c r="W623" s="17"/>
    </row>
    <row r="624">
      <c r="T624" s="17"/>
      <c r="U624" s="17"/>
      <c r="V624" s="17"/>
      <c r="W624" s="17"/>
    </row>
    <row r="625">
      <c r="T625" s="17"/>
      <c r="U625" s="17"/>
      <c r="V625" s="17"/>
      <c r="W625" s="17"/>
    </row>
    <row r="626">
      <c r="T626" s="17"/>
      <c r="U626" s="17"/>
      <c r="V626" s="17"/>
      <c r="W626" s="17"/>
    </row>
    <row r="627">
      <c r="T627" s="17"/>
      <c r="U627" s="17"/>
      <c r="V627" s="17"/>
      <c r="W627" s="17"/>
    </row>
    <row r="628">
      <c r="T628" s="17"/>
      <c r="U628" s="17"/>
      <c r="V628" s="17"/>
      <c r="W628" s="17"/>
    </row>
    <row r="629">
      <c r="T629" s="17"/>
      <c r="U629" s="17"/>
      <c r="V629" s="17"/>
      <c r="W629" s="17"/>
    </row>
    <row r="630">
      <c r="T630" s="17"/>
      <c r="U630" s="17"/>
      <c r="V630" s="17"/>
      <c r="W630" s="17"/>
    </row>
    <row r="631">
      <c r="T631" s="17"/>
      <c r="U631" s="17"/>
      <c r="V631" s="17"/>
      <c r="W631" s="17"/>
    </row>
    <row r="632">
      <c r="T632" s="17"/>
      <c r="U632" s="17"/>
      <c r="V632" s="17"/>
      <c r="W632" s="17"/>
    </row>
    <row r="633">
      <c r="T633" s="17"/>
      <c r="U633" s="17"/>
      <c r="V633" s="17"/>
      <c r="W633" s="17"/>
    </row>
    <row r="634">
      <c r="T634" s="17"/>
      <c r="U634" s="17"/>
      <c r="V634" s="17"/>
      <c r="W634" s="17"/>
    </row>
    <row r="635">
      <c r="T635" s="17"/>
      <c r="U635" s="17"/>
      <c r="V635" s="17"/>
      <c r="W635" s="17"/>
    </row>
    <row r="636">
      <c r="T636" s="17"/>
      <c r="U636" s="17"/>
      <c r="V636" s="17"/>
      <c r="W636" s="17"/>
    </row>
    <row r="637">
      <c r="T637" s="17"/>
      <c r="U637" s="17"/>
      <c r="V637" s="17"/>
      <c r="W637" s="17"/>
    </row>
    <row r="638">
      <c r="T638" s="17"/>
      <c r="U638" s="17"/>
      <c r="V638" s="17"/>
      <c r="W638" s="17"/>
    </row>
    <row r="639">
      <c r="T639" s="17"/>
      <c r="U639" s="17"/>
      <c r="V639" s="17"/>
      <c r="W639" s="17"/>
    </row>
    <row r="640">
      <c r="T640" s="17"/>
      <c r="U640" s="17"/>
      <c r="V640" s="17"/>
      <c r="W640" s="17"/>
    </row>
    <row r="641">
      <c r="T641" s="17"/>
      <c r="U641" s="17"/>
      <c r="V641" s="17"/>
      <c r="W641" s="17"/>
    </row>
    <row r="642">
      <c r="T642" s="17"/>
      <c r="U642" s="17"/>
      <c r="V642" s="17"/>
      <c r="W642" s="17"/>
    </row>
    <row r="643">
      <c r="T643" s="17"/>
      <c r="U643" s="17"/>
      <c r="V643" s="17"/>
      <c r="W643" s="17"/>
    </row>
    <row r="644">
      <c r="T644" s="17"/>
      <c r="U644" s="17"/>
      <c r="V644" s="17"/>
      <c r="W644" s="17"/>
    </row>
    <row r="645">
      <c r="T645" s="17"/>
      <c r="U645" s="17"/>
      <c r="V645" s="17"/>
      <c r="W645" s="17"/>
    </row>
    <row r="646">
      <c r="T646" s="17"/>
      <c r="U646" s="17"/>
      <c r="V646" s="17"/>
      <c r="W646" s="17"/>
    </row>
    <row r="647">
      <c r="T647" s="17"/>
      <c r="U647" s="17"/>
      <c r="V647" s="17"/>
      <c r="W647" s="17"/>
    </row>
    <row r="648">
      <c r="T648" s="17"/>
      <c r="U648" s="17"/>
      <c r="V648" s="17"/>
      <c r="W648" s="17"/>
    </row>
    <row r="649">
      <c r="T649" s="17"/>
      <c r="U649" s="17"/>
      <c r="V649" s="17"/>
      <c r="W649" s="17"/>
    </row>
    <row r="650">
      <c r="T650" s="17"/>
      <c r="U650" s="17"/>
      <c r="V650" s="17"/>
      <c r="W650" s="17"/>
    </row>
    <row r="651">
      <c r="T651" s="17"/>
      <c r="U651" s="17"/>
      <c r="V651" s="17"/>
      <c r="W651" s="17"/>
    </row>
    <row r="652">
      <c r="T652" s="17"/>
      <c r="U652" s="17"/>
      <c r="V652" s="17"/>
      <c r="W652" s="17"/>
    </row>
    <row r="653">
      <c r="T653" s="17"/>
      <c r="U653" s="17"/>
      <c r="V653" s="17"/>
      <c r="W653" s="17"/>
    </row>
    <row r="654">
      <c r="T654" s="17"/>
      <c r="U654" s="17"/>
      <c r="V654" s="17"/>
      <c r="W654" s="17"/>
    </row>
    <row r="655">
      <c r="T655" s="17"/>
      <c r="U655" s="17"/>
      <c r="V655" s="17"/>
      <c r="W655" s="17"/>
    </row>
    <row r="656">
      <c r="T656" s="17"/>
      <c r="U656" s="17"/>
      <c r="V656" s="17"/>
      <c r="W656" s="17"/>
    </row>
    <row r="657">
      <c r="T657" s="17"/>
      <c r="U657" s="17"/>
      <c r="V657" s="17"/>
      <c r="W657" s="17"/>
    </row>
    <row r="658">
      <c r="T658" s="17"/>
      <c r="U658" s="17"/>
      <c r="V658" s="17"/>
      <c r="W658" s="17"/>
    </row>
    <row r="659">
      <c r="T659" s="17"/>
      <c r="U659" s="17"/>
      <c r="V659" s="17"/>
      <c r="W659" s="17"/>
    </row>
    <row r="660">
      <c r="T660" s="17"/>
      <c r="U660" s="17"/>
      <c r="V660" s="17"/>
      <c r="W660" s="17"/>
    </row>
    <row r="661">
      <c r="T661" s="17"/>
      <c r="U661" s="17"/>
      <c r="V661" s="17"/>
      <c r="W661" s="17"/>
    </row>
    <row r="662">
      <c r="T662" s="17"/>
      <c r="U662" s="17"/>
      <c r="V662" s="17"/>
      <c r="W662" s="17"/>
    </row>
    <row r="663">
      <c r="T663" s="17"/>
      <c r="U663" s="17"/>
      <c r="V663" s="17"/>
      <c r="W663" s="17"/>
    </row>
    <row r="664">
      <c r="T664" s="17"/>
      <c r="U664" s="17"/>
      <c r="V664" s="17"/>
      <c r="W664" s="17"/>
    </row>
    <row r="665">
      <c r="T665" s="17"/>
      <c r="U665" s="17"/>
      <c r="V665" s="17"/>
      <c r="W665" s="17"/>
    </row>
    <row r="666">
      <c r="T666" s="17"/>
      <c r="U666" s="17"/>
      <c r="V666" s="17"/>
      <c r="W666" s="17"/>
    </row>
    <row r="667">
      <c r="T667" s="17"/>
      <c r="U667" s="17"/>
      <c r="V667" s="17"/>
      <c r="W667" s="17"/>
    </row>
    <row r="668">
      <c r="T668" s="17"/>
      <c r="U668" s="17"/>
      <c r="V668" s="17"/>
      <c r="W668" s="17"/>
    </row>
    <row r="669">
      <c r="T669" s="17"/>
      <c r="U669" s="17"/>
      <c r="V669" s="17"/>
      <c r="W669" s="17"/>
    </row>
    <row r="670">
      <c r="T670" s="17"/>
      <c r="U670" s="17"/>
      <c r="V670" s="17"/>
      <c r="W670" s="17"/>
    </row>
    <row r="671">
      <c r="T671" s="17"/>
      <c r="U671" s="17"/>
      <c r="V671" s="17"/>
      <c r="W671" s="17"/>
    </row>
    <row r="672">
      <c r="T672" s="17"/>
      <c r="U672" s="17"/>
      <c r="V672" s="17"/>
      <c r="W672" s="17"/>
    </row>
    <row r="673">
      <c r="T673" s="17"/>
      <c r="U673" s="17"/>
      <c r="V673" s="17"/>
      <c r="W673" s="17"/>
    </row>
    <row r="674">
      <c r="T674" s="17"/>
      <c r="U674" s="17"/>
      <c r="V674" s="17"/>
      <c r="W674" s="17"/>
    </row>
    <row r="675">
      <c r="T675" s="17"/>
      <c r="U675" s="17"/>
      <c r="V675" s="17"/>
      <c r="W675" s="17"/>
    </row>
    <row r="676">
      <c r="T676" s="17"/>
      <c r="U676" s="17"/>
      <c r="V676" s="17"/>
      <c r="W676" s="17"/>
    </row>
    <row r="677">
      <c r="T677" s="17"/>
      <c r="U677" s="17"/>
      <c r="V677" s="17"/>
      <c r="W677" s="17"/>
    </row>
    <row r="678">
      <c r="T678" s="17"/>
      <c r="U678" s="17"/>
      <c r="V678" s="17"/>
      <c r="W678" s="17"/>
    </row>
    <row r="679">
      <c r="T679" s="17"/>
      <c r="U679" s="17"/>
      <c r="V679" s="17"/>
      <c r="W679" s="17"/>
    </row>
    <row r="680">
      <c r="T680" s="17"/>
      <c r="U680" s="17"/>
      <c r="V680" s="17"/>
      <c r="W680" s="17"/>
    </row>
    <row r="681">
      <c r="T681" s="17"/>
      <c r="U681" s="17"/>
      <c r="V681" s="17"/>
      <c r="W681" s="17"/>
    </row>
    <row r="682">
      <c r="T682" s="17"/>
      <c r="U682" s="17"/>
      <c r="V682" s="17"/>
      <c r="W682" s="17"/>
    </row>
    <row r="683">
      <c r="T683" s="17"/>
      <c r="U683" s="17"/>
      <c r="V683" s="17"/>
      <c r="W683" s="17"/>
    </row>
    <row r="684">
      <c r="T684" s="17"/>
      <c r="U684" s="17"/>
      <c r="V684" s="17"/>
      <c r="W684" s="17"/>
    </row>
    <row r="685">
      <c r="T685" s="17"/>
      <c r="U685" s="17"/>
      <c r="V685" s="17"/>
      <c r="W685" s="17"/>
    </row>
    <row r="686">
      <c r="T686" s="17"/>
      <c r="U686" s="17"/>
      <c r="V686" s="17"/>
      <c r="W686" s="17"/>
    </row>
    <row r="687">
      <c r="T687" s="17"/>
      <c r="U687" s="17"/>
      <c r="V687" s="17"/>
      <c r="W687" s="17"/>
    </row>
    <row r="688">
      <c r="T688" s="17"/>
      <c r="U688" s="17"/>
      <c r="V688" s="17"/>
      <c r="W688" s="17"/>
    </row>
    <row r="689">
      <c r="T689" s="17"/>
      <c r="U689" s="17"/>
      <c r="V689" s="17"/>
      <c r="W689" s="17"/>
    </row>
    <row r="690">
      <c r="T690" s="17"/>
      <c r="U690" s="17"/>
      <c r="V690" s="17"/>
      <c r="W690" s="17"/>
    </row>
    <row r="691">
      <c r="T691" s="17"/>
      <c r="U691" s="17"/>
      <c r="V691" s="17"/>
      <c r="W691" s="17"/>
    </row>
    <row r="692">
      <c r="T692" s="17"/>
      <c r="U692" s="17"/>
      <c r="V692" s="17"/>
      <c r="W692" s="17"/>
    </row>
    <row r="693">
      <c r="T693" s="17"/>
      <c r="U693" s="17"/>
      <c r="V693" s="17"/>
      <c r="W693" s="17"/>
    </row>
    <row r="694">
      <c r="T694" s="17"/>
      <c r="U694" s="17"/>
      <c r="V694" s="17"/>
      <c r="W694" s="17"/>
    </row>
    <row r="695">
      <c r="T695" s="17"/>
      <c r="U695" s="17"/>
      <c r="V695" s="17"/>
      <c r="W695" s="17"/>
    </row>
    <row r="696">
      <c r="T696" s="17"/>
      <c r="U696" s="17"/>
      <c r="V696" s="17"/>
      <c r="W696" s="17"/>
    </row>
    <row r="697">
      <c r="T697" s="17"/>
      <c r="U697" s="17"/>
      <c r="V697" s="17"/>
      <c r="W697" s="17"/>
    </row>
    <row r="698">
      <c r="T698" s="17"/>
      <c r="U698" s="17"/>
      <c r="V698" s="17"/>
      <c r="W698" s="17"/>
    </row>
    <row r="699">
      <c r="T699" s="17"/>
      <c r="U699" s="17"/>
      <c r="V699" s="17"/>
      <c r="W699" s="17"/>
    </row>
    <row r="700">
      <c r="T700" s="17"/>
      <c r="U700" s="17"/>
      <c r="V700" s="17"/>
      <c r="W700" s="17"/>
    </row>
    <row r="701">
      <c r="T701" s="17"/>
      <c r="U701" s="17"/>
      <c r="V701" s="17"/>
      <c r="W701" s="17"/>
    </row>
    <row r="702">
      <c r="T702" s="17"/>
      <c r="U702" s="17"/>
      <c r="V702" s="17"/>
      <c r="W702" s="17"/>
    </row>
    <row r="703">
      <c r="T703" s="17"/>
      <c r="U703" s="17"/>
      <c r="V703" s="17"/>
      <c r="W703" s="17"/>
    </row>
    <row r="704">
      <c r="T704" s="17"/>
      <c r="U704" s="17"/>
      <c r="V704" s="17"/>
      <c r="W704" s="17"/>
    </row>
    <row r="705">
      <c r="T705" s="17"/>
      <c r="U705" s="17"/>
      <c r="V705" s="17"/>
      <c r="W705" s="17"/>
    </row>
    <row r="706">
      <c r="T706" s="17"/>
      <c r="U706" s="17"/>
      <c r="V706" s="17"/>
      <c r="W706" s="17"/>
    </row>
    <row r="707">
      <c r="T707" s="17"/>
      <c r="U707" s="17"/>
      <c r="V707" s="17"/>
      <c r="W707" s="17"/>
    </row>
    <row r="708">
      <c r="T708" s="17"/>
      <c r="U708" s="17"/>
      <c r="V708" s="17"/>
      <c r="W708" s="17"/>
    </row>
    <row r="709">
      <c r="T709" s="17"/>
      <c r="U709" s="17"/>
      <c r="V709" s="17"/>
      <c r="W709" s="17"/>
    </row>
    <row r="710">
      <c r="T710" s="17"/>
      <c r="U710" s="17"/>
      <c r="V710" s="17"/>
      <c r="W710" s="17"/>
    </row>
    <row r="711">
      <c r="T711" s="17"/>
      <c r="U711" s="17"/>
      <c r="V711" s="17"/>
      <c r="W711" s="17"/>
    </row>
    <row r="712">
      <c r="T712" s="17"/>
      <c r="U712" s="17"/>
      <c r="V712" s="17"/>
      <c r="W712" s="17"/>
    </row>
    <row r="713">
      <c r="T713" s="17"/>
      <c r="U713" s="17"/>
      <c r="V713" s="17"/>
      <c r="W713" s="17"/>
    </row>
    <row r="714">
      <c r="T714" s="17"/>
      <c r="U714" s="17"/>
      <c r="V714" s="17"/>
      <c r="W714" s="17"/>
    </row>
    <row r="715">
      <c r="T715" s="17"/>
      <c r="U715" s="17"/>
      <c r="V715" s="17"/>
      <c r="W715" s="17"/>
    </row>
    <row r="716">
      <c r="T716" s="17"/>
      <c r="U716" s="17"/>
      <c r="V716" s="17"/>
      <c r="W716" s="17"/>
    </row>
    <row r="717">
      <c r="T717" s="17"/>
      <c r="U717" s="17"/>
      <c r="V717" s="17"/>
      <c r="W717" s="17"/>
    </row>
    <row r="718">
      <c r="T718" s="17"/>
      <c r="U718" s="17"/>
      <c r="V718" s="17"/>
      <c r="W718" s="17"/>
    </row>
    <row r="719">
      <c r="T719" s="17"/>
      <c r="U719" s="17"/>
      <c r="V719" s="17"/>
      <c r="W719" s="17"/>
    </row>
    <row r="720">
      <c r="T720" s="17"/>
      <c r="U720" s="17"/>
      <c r="V720" s="17"/>
      <c r="W720" s="17"/>
    </row>
    <row r="721">
      <c r="T721" s="17"/>
      <c r="U721" s="17"/>
      <c r="V721" s="17"/>
      <c r="W721" s="17"/>
    </row>
    <row r="722">
      <c r="T722" s="17"/>
      <c r="U722" s="17"/>
      <c r="V722" s="17"/>
      <c r="W722" s="17"/>
    </row>
    <row r="723">
      <c r="T723" s="17"/>
      <c r="U723" s="17"/>
      <c r="V723" s="17"/>
      <c r="W723" s="17"/>
    </row>
    <row r="724">
      <c r="T724" s="17"/>
      <c r="U724" s="17"/>
      <c r="V724" s="17"/>
      <c r="W724" s="17"/>
    </row>
    <row r="725">
      <c r="T725" s="17"/>
      <c r="U725" s="17"/>
      <c r="V725" s="17"/>
      <c r="W725" s="17"/>
    </row>
    <row r="726">
      <c r="T726" s="17"/>
      <c r="U726" s="17"/>
      <c r="V726" s="17"/>
      <c r="W726" s="17"/>
    </row>
    <row r="727">
      <c r="T727" s="17"/>
      <c r="U727" s="17"/>
      <c r="V727" s="17"/>
      <c r="W727" s="17"/>
    </row>
    <row r="728">
      <c r="T728" s="17"/>
      <c r="U728" s="17"/>
      <c r="V728" s="17"/>
      <c r="W728" s="17"/>
    </row>
    <row r="729">
      <c r="T729" s="17"/>
      <c r="U729" s="17"/>
      <c r="V729" s="17"/>
      <c r="W729" s="17"/>
    </row>
    <row r="730">
      <c r="T730" s="17"/>
      <c r="U730" s="17"/>
      <c r="V730" s="17"/>
      <c r="W730" s="17"/>
    </row>
    <row r="731">
      <c r="T731" s="17"/>
      <c r="U731" s="17"/>
      <c r="V731" s="17"/>
      <c r="W731" s="17"/>
    </row>
    <row r="732">
      <c r="T732" s="17"/>
      <c r="U732" s="17"/>
      <c r="V732" s="17"/>
      <c r="W732" s="17"/>
    </row>
    <row r="733">
      <c r="T733" s="17"/>
      <c r="U733" s="17"/>
      <c r="V733" s="17"/>
      <c r="W733" s="17"/>
    </row>
    <row r="734">
      <c r="T734" s="17"/>
      <c r="U734" s="17"/>
      <c r="V734" s="17"/>
      <c r="W734" s="17"/>
    </row>
    <row r="735">
      <c r="T735" s="17"/>
      <c r="U735" s="17"/>
      <c r="V735" s="17"/>
      <c r="W735" s="17"/>
    </row>
    <row r="736">
      <c r="T736" s="17"/>
      <c r="U736" s="17"/>
      <c r="V736" s="17"/>
      <c r="W736" s="17"/>
    </row>
    <row r="737">
      <c r="T737" s="17"/>
      <c r="U737" s="17"/>
      <c r="V737" s="17"/>
      <c r="W737" s="17"/>
    </row>
    <row r="738">
      <c r="T738" s="17"/>
      <c r="U738" s="17"/>
      <c r="V738" s="17"/>
      <c r="W738" s="17"/>
    </row>
    <row r="739">
      <c r="T739" s="17"/>
      <c r="U739" s="17"/>
      <c r="V739" s="17"/>
      <c r="W739" s="17"/>
    </row>
    <row r="740">
      <c r="T740" s="17"/>
      <c r="U740" s="17"/>
      <c r="V740" s="17"/>
      <c r="W740" s="17"/>
    </row>
    <row r="741">
      <c r="T741" s="17"/>
      <c r="U741" s="17"/>
      <c r="V741" s="17"/>
      <c r="W741" s="17"/>
    </row>
    <row r="742">
      <c r="T742" s="17"/>
      <c r="U742" s="17"/>
      <c r="V742" s="17"/>
      <c r="W742" s="17"/>
    </row>
    <row r="743">
      <c r="T743" s="17"/>
      <c r="U743" s="17"/>
      <c r="V743" s="17"/>
      <c r="W743" s="17"/>
    </row>
    <row r="744">
      <c r="T744" s="17"/>
      <c r="U744" s="17"/>
      <c r="V744" s="17"/>
      <c r="W744" s="17"/>
    </row>
    <row r="745">
      <c r="T745" s="17"/>
      <c r="U745" s="17"/>
      <c r="V745" s="17"/>
      <c r="W745" s="17"/>
    </row>
    <row r="746">
      <c r="T746" s="17"/>
      <c r="U746" s="17"/>
      <c r="V746" s="17"/>
      <c r="W746" s="17"/>
    </row>
    <row r="747">
      <c r="T747" s="17"/>
      <c r="U747" s="17"/>
      <c r="V747" s="17"/>
      <c r="W747" s="17"/>
    </row>
    <row r="748">
      <c r="T748" s="17"/>
      <c r="U748" s="17"/>
      <c r="V748" s="17"/>
      <c r="W748" s="17"/>
    </row>
    <row r="749">
      <c r="T749" s="17"/>
      <c r="U749" s="17"/>
      <c r="V749" s="17"/>
      <c r="W749" s="17"/>
    </row>
    <row r="750">
      <c r="T750" s="17"/>
      <c r="U750" s="17"/>
      <c r="V750" s="17"/>
      <c r="W750" s="17"/>
    </row>
    <row r="751">
      <c r="T751" s="17"/>
      <c r="U751" s="17"/>
      <c r="V751" s="17"/>
      <c r="W751" s="17"/>
    </row>
    <row r="752">
      <c r="T752" s="17"/>
      <c r="U752" s="17"/>
      <c r="V752" s="17"/>
      <c r="W752" s="17"/>
    </row>
    <row r="753">
      <c r="T753" s="17"/>
      <c r="U753" s="17"/>
      <c r="V753" s="17"/>
      <c r="W753" s="17"/>
    </row>
    <row r="754">
      <c r="T754" s="17"/>
      <c r="U754" s="17"/>
      <c r="V754" s="17"/>
      <c r="W754" s="17"/>
    </row>
    <row r="755">
      <c r="T755" s="17"/>
      <c r="U755" s="17"/>
      <c r="V755" s="17"/>
      <c r="W755" s="17"/>
    </row>
    <row r="756">
      <c r="T756" s="17"/>
      <c r="U756" s="17"/>
      <c r="V756" s="17"/>
      <c r="W756" s="17"/>
    </row>
    <row r="757">
      <c r="T757" s="17"/>
      <c r="U757" s="17"/>
      <c r="V757" s="17"/>
      <c r="W757" s="17"/>
    </row>
    <row r="758">
      <c r="T758" s="17"/>
      <c r="U758" s="17"/>
      <c r="V758" s="17"/>
      <c r="W758" s="17"/>
    </row>
    <row r="759">
      <c r="T759" s="17"/>
      <c r="U759" s="17"/>
      <c r="V759" s="17"/>
      <c r="W759" s="17"/>
    </row>
    <row r="760">
      <c r="T760" s="17"/>
      <c r="U760" s="17"/>
      <c r="V760" s="17"/>
      <c r="W760" s="17"/>
    </row>
    <row r="761">
      <c r="T761" s="17"/>
      <c r="U761" s="17"/>
      <c r="V761" s="17"/>
      <c r="W761" s="17"/>
    </row>
    <row r="762">
      <c r="T762" s="17"/>
      <c r="U762" s="17"/>
      <c r="V762" s="17"/>
      <c r="W762" s="17"/>
    </row>
    <row r="763">
      <c r="T763" s="17"/>
      <c r="U763" s="17"/>
      <c r="V763" s="17"/>
      <c r="W763" s="17"/>
    </row>
    <row r="764">
      <c r="T764" s="17"/>
      <c r="U764" s="17"/>
      <c r="V764" s="17"/>
      <c r="W764" s="17"/>
    </row>
    <row r="765">
      <c r="T765" s="17"/>
      <c r="U765" s="17"/>
      <c r="V765" s="17"/>
      <c r="W765" s="17"/>
    </row>
    <row r="766">
      <c r="T766" s="17"/>
      <c r="U766" s="17"/>
      <c r="V766" s="17"/>
      <c r="W766" s="17"/>
    </row>
    <row r="767">
      <c r="T767" s="17"/>
      <c r="U767" s="17"/>
      <c r="V767" s="17"/>
      <c r="W767" s="17"/>
    </row>
    <row r="768">
      <c r="T768" s="17"/>
      <c r="U768" s="17"/>
      <c r="V768" s="17"/>
      <c r="W768" s="17"/>
    </row>
    <row r="769">
      <c r="T769" s="17"/>
      <c r="U769" s="17"/>
      <c r="V769" s="17"/>
      <c r="W769" s="17"/>
    </row>
    <row r="770">
      <c r="T770" s="17"/>
      <c r="U770" s="17"/>
      <c r="V770" s="17"/>
      <c r="W770" s="17"/>
    </row>
    <row r="771">
      <c r="T771" s="17"/>
      <c r="U771" s="17"/>
      <c r="V771" s="17"/>
      <c r="W771" s="17"/>
    </row>
    <row r="772">
      <c r="T772" s="17"/>
      <c r="U772" s="17"/>
      <c r="V772" s="17"/>
      <c r="W772" s="17"/>
    </row>
    <row r="773">
      <c r="T773" s="17"/>
      <c r="U773" s="17"/>
      <c r="V773" s="17"/>
      <c r="W773" s="17"/>
    </row>
    <row r="774">
      <c r="T774" s="17"/>
      <c r="U774" s="17"/>
      <c r="V774" s="17"/>
      <c r="W774" s="17"/>
    </row>
    <row r="775">
      <c r="T775" s="17"/>
      <c r="U775" s="17"/>
      <c r="V775" s="17"/>
      <c r="W775" s="17"/>
    </row>
    <row r="776">
      <c r="T776" s="17"/>
      <c r="U776" s="17"/>
      <c r="V776" s="17"/>
      <c r="W776" s="17"/>
    </row>
    <row r="777">
      <c r="T777" s="17"/>
      <c r="U777" s="17"/>
      <c r="V777" s="17"/>
      <c r="W777" s="17"/>
    </row>
    <row r="778">
      <c r="T778" s="17"/>
      <c r="U778" s="17"/>
      <c r="V778" s="17"/>
      <c r="W778" s="17"/>
    </row>
    <row r="779">
      <c r="T779" s="17"/>
      <c r="U779" s="17"/>
      <c r="V779" s="17"/>
      <c r="W779" s="17"/>
    </row>
    <row r="780">
      <c r="T780" s="17"/>
      <c r="U780" s="17"/>
      <c r="V780" s="17"/>
      <c r="W780" s="17"/>
    </row>
    <row r="781">
      <c r="T781" s="17"/>
      <c r="U781" s="17"/>
      <c r="V781" s="17"/>
      <c r="W781" s="17"/>
    </row>
    <row r="782">
      <c r="T782" s="17"/>
      <c r="U782" s="17"/>
      <c r="V782" s="17"/>
      <c r="W782" s="17"/>
    </row>
    <row r="783">
      <c r="T783" s="17"/>
      <c r="U783" s="17"/>
      <c r="V783" s="17"/>
      <c r="W783" s="17"/>
    </row>
    <row r="784">
      <c r="T784" s="17"/>
      <c r="U784" s="17"/>
      <c r="V784" s="17"/>
      <c r="W784" s="17"/>
    </row>
    <row r="785">
      <c r="T785" s="17"/>
      <c r="U785" s="17"/>
      <c r="V785" s="17"/>
      <c r="W785" s="17"/>
    </row>
    <row r="786">
      <c r="T786" s="17"/>
      <c r="U786" s="17"/>
      <c r="V786" s="17"/>
      <c r="W786" s="17"/>
    </row>
    <row r="787">
      <c r="T787" s="17"/>
      <c r="U787" s="17"/>
      <c r="V787" s="17"/>
      <c r="W787" s="17"/>
    </row>
    <row r="788">
      <c r="T788" s="17"/>
      <c r="U788" s="17"/>
      <c r="V788" s="17"/>
      <c r="W788" s="17"/>
    </row>
    <row r="789">
      <c r="T789" s="17"/>
      <c r="U789" s="17"/>
      <c r="V789" s="17"/>
      <c r="W789" s="17"/>
    </row>
    <row r="790">
      <c r="T790" s="17"/>
      <c r="U790" s="17"/>
      <c r="V790" s="17"/>
      <c r="W790" s="17"/>
    </row>
    <row r="791">
      <c r="T791" s="17"/>
      <c r="U791" s="17"/>
      <c r="V791" s="17"/>
      <c r="W791" s="17"/>
    </row>
    <row r="792">
      <c r="T792" s="17"/>
      <c r="U792" s="17"/>
      <c r="V792" s="17"/>
      <c r="W792" s="17"/>
    </row>
    <row r="793">
      <c r="T793" s="17"/>
      <c r="U793" s="17"/>
      <c r="V793" s="17"/>
      <c r="W793" s="17"/>
    </row>
    <row r="794">
      <c r="T794" s="17"/>
      <c r="U794" s="17"/>
      <c r="V794" s="17"/>
      <c r="W794" s="17"/>
    </row>
    <row r="795">
      <c r="T795" s="17"/>
      <c r="U795" s="17"/>
      <c r="V795" s="17"/>
      <c r="W795" s="17"/>
    </row>
    <row r="796">
      <c r="T796" s="17"/>
      <c r="U796" s="17"/>
      <c r="V796" s="17"/>
      <c r="W796" s="17"/>
    </row>
    <row r="797">
      <c r="T797" s="17"/>
      <c r="U797" s="17"/>
      <c r="V797" s="17"/>
      <c r="W797" s="17"/>
    </row>
    <row r="798">
      <c r="T798" s="17"/>
      <c r="U798" s="17"/>
      <c r="V798" s="17"/>
      <c r="W798" s="17"/>
    </row>
    <row r="799">
      <c r="T799" s="17"/>
      <c r="U799" s="17"/>
      <c r="V799" s="17"/>
      <c r="W799" s="17"/>
    </row>
    <row r="800">
      <c r="T800" s="17"/>
      <c r="U800" s="17"/>
      <c r="V800" s="17"/>
      <c r="W800" s="17"/>
    </row>
    <row r="801">
      <c r="T801" s="17"/>
      <c r="U801" s="17"/>
      <c r="V801" s="17"/>
      <c r="W801" s="17"/>
    </row>
    <row r="802">
      <c r="T802" s="17"/>
      <c r="U802" s="17"/>
      <c r="V802" s="17"/>
      <c r="W802" s="17"/>
    </row>
    <row r="803">
      <c r="T803" s="17"/>
      <c r="U803" s="17"/>
      <c r="V803" s="17"/>
      <c r="W803" s="17"/>
    </row>
    <row r="804">
      <c r="T804" s="17"/>
      <c r="U804" s="17"/>
      <c r="V804" s="17"/>
      <c r="W804" s="17"/>
    </row>
    <row r="805">
      <c r="T805" s="17"/>
      <c r="U805" s="17"/>
      <c r="V805" s="17"/>
      <c r="W805" s="17"/>
    </row>
    <row r="806">
      <c r="T806" s="17"/>
      <c r="U806" s="17"/>
      <c r="V806" s="17"/>
      <c r="W806" s="17"/>
    </row>
    <row r="807">
      <c r="T807" s="17"/>
      <c r="U807" s="17"/>
      <c r="V807" s="17"/>
      <c r="W807" s="17"/>
    </row>
    <row r="808">
      <c r="T808" s="17"/>
      <c r="U808" s="17"/>
      <c r="V808" s="17"/>
      <c r="W808" s="17"/>
    </row>
    <row r="809">
      <c r="T809" s="17"/>
      <c r="U809" s="17"/>
      <c r="V809" s="17"/>
      <c r="W809" s="17"/>
    </row>
    <row r="810">
      <c r="T810" s="17"/>
      <c r="U810" s="17"/>
      <c r="V810" s="17"/>
      <c r="W810" s="17"/>
    </row>
    <row r="811">
      <c r="T811" s="17"/>
      <c r="U811" s="17"/>
      <c r="V811" s="17"/>
      <c r="W811" s="17"/>
    </row>
    <row r="812">
      <c r="T812" s="17"/>
      <c r="U812" s="17"/>
      <c r="V812" s="17"/>
      <c r="W812" s="17"/>
    </row>
    <row r="813">
      <c r="T813" s="17"/>
      <c r="U813" s="17"/>
      <c r="V813" s="17"/>
      <c r="W813" s="17"/>
    </row>
    <row r="814">
      <c r="T814" s="17"/>
      <c r="U814" s="17"/>
      <c r="V814" s="17"/>
      <c r="W814" s="17"/>
    </row>
    <row r="815">
      <c r="T815" s="17"/>
      <c r="U815" s="17"/>
      <c r="V815" s="17"/>
      <c r="W815" s="17"/>
    </row>
    <row r="816">
      <c r="T816" s="17"/>
      <c r="U816" s="17"/>
      <c r="V816" s="17"/>
      <c r="W816" s="17"/>
    </row>
    <row r="817">
      <c r="T817" s="17"/>
      <c r="U817" s="17"/>
      <c r="V817" s="17"/>
      <c r="W817" s="17"/>
    </row>
    <row r="818">
      <c r="T818" s="17"/>
      <c r="U818" s="17"/>
      <c r="V818" s="17"/>
      <c r="W818" s="17"/>
    </row>
    <row r="819">
      <c r="T819" s="17"/>
      <c r="U819" s="17"/>
      <c r="V819" s="17"/>
      <c r="W819" s="17"/>
    </row>
    <row r="820">
      <c r="T820" s="17"/>
      <c r="U820" s="17"/>
      <c r="V820" s="17"/>
      <c r="W820" s="17"/>
    </row>
    <row r="821">
      <c r="T821" s="17"/>
      <c r="U821" s="17"/>
      <c r="V821" s="17"/>
      <c r="W821" s="17"/>
    </row>
    <row r="822">
      <c r="T822" s="17"/>
      <c r="U822" s="17"/>
      <c r="V822" s="17"/>
      <c r="W822" s="17"/>
    </row>
    <row r="823">
      <c r="T823" s="17"/>
      <c r="U823" s="17"/>
      <c r="V823" s="17"/>
      <c r="W823" s="17"/>
    </row>
    <row r="824">
      <c r="T824" s="17"/>
      <c r="U824" s="17"/>
      <c r="V824" s="17"/>
      <c r="W824" s="17"/>
    </row>
    <row r="825">
      <c r="T825" s="17"/>
      <c r="U825" s="17"/>
      <c r="V825" s="17"/>
      <c r="W825" s="17"/>
    </row>
    <row r="826">
      <c r="T826" s="17"/>
      <c r="U826" s="17"/>
      <c r="V826" s="17"/>
      <c r="W826" s="17"/>
    </row>
    <row r="827">
      <c r="T827" s="17"/>
      <c r="U827" s="17"/>
      <c r="V827" s="17"/>
      <c r="W827" s="17"/>
    </row>
    <row r="828">
      <c r="T828" s="17"/>
      <c r="U828" s="17"/>
      <c r="V828" s="17"/>
      <c r="W828" s="17"/>
    </row>
    <row r="829">
      <c r="T829" s="17"/>
      <c r="U829" s="17"/>
      <c r="V829" s="17"/>
      <c r="W829" s="17"/>
    </row>
    <row r="830">
      <c r="T830" s="17"/>
      <c r="U830" s="17"/>
      <c r="V830" s="17"/>
      <c r="W830" s="17"/>
    </row>
    <row r="831">
      <c r="T831" s="17"/>
      <c r="U831" s="17"/>
      <c r="V831" s="17"/>
      <c r="W831" s="17"/>
    </row>
    <row r="832">
      <c r="T832" s="17"/>
      <c r="U832" s="17"/>
      <c r="V832" s="17"/>
      <c r="W832" s="17"/>
    </row>
    <row r="833">
      <c r="T833" s="17"/>
      <c r="U833" s="17"/>
      <c r="V833" s="17"/>
      <c r="W833" s="17"/>
    </row>
    <row r="834">
      <c r="T834" s="17"/>
      <c r="U834" s="17"/>
      <c r="V834" s="17"/>
      <c r="W834" s="17"/>
    </row>
    <row r="835">
      <c r="T835" s="17"/>
      <c r="U835" s="17"/>
      <c r="V835" s="17"/>
      <c r="W835" s="17"/>
    </row>
    <row r="836">
      <c r="T836" s="17"/>
      <c r="U836" s="17"/>
      <c r="V836" s="17"/>
      <c r="W836" s="17"/>
    </row>
    <row r="837">
      <c r="T837" s="17"/>
      <c r="U837" s="17"/>
      <c r="V837" s="17"/>
      <c r="W837" s="17"/>
    </row>
    <row r="838">
      <c r="T838" s="17"/>
      <c r="U838" s="17"/>
      <c r="V838" s="17"/>
      <c r="W838" s="17"/>
    </row>
    <row r="839">
      <c r="T839" s="17"/>
      <c r="U839" s="17"/>
      <c r="V839" s="17"/>
      <c r="W839" s="17"/>
    </row>
    <row r="840">
      <c r="T840" s="17"/>
      <c r="U840" s="17"/>
      <c r="V840" s="17"/>
      <c r="W840" s="17"/>
    </row>
    <row r="841">
      <c r="T841" s="17"/>
      <c r="U841" s="17"/>
      <c r="V841" s="17"/>
      <c r="W841" s="17"/>
    </row>
    <row r="842">
      <c r="T842" s="17"/>
      <c r="U842" s="17"/>
      <c r="V842" s="17"/>
      <c r="W842" s="17"/>
    </row>
    <row r="843">
      <c r="T843" s="17"/>
      <c r="U843" s="17"/>
      <c r="V843" s="17"/>
      <c r="W843" s="17"/>
    </row>
    <row r="844">
      <c r="T844" s="17"/>
      <c r="U844" s="17"/>
      <c r="V844" s="17"/>
      <c r="W844" s="17"/>
    </row>
    <row r="845">
      <c r="T845" s="17"/>
      <c r="U845" s="17"/>
      <c r="V845" s="17"/>
      <c r="W845" s="17"/>
    </row>
    <row r="846">
      <c r="T846" s="17"/>
      <c r="U846" s="17"/>
      <c r="V846" s="17"/>
      <c r="W846" s="17"/>
    </row>
    <row r="847">
      <c r="T847" s="17"/>
      <c r="U847" s="17"/>
      <c r="V847" s="17"/>
      <c r="W847" s="17"/>
    </row>
    <row r="848">
      <c r="T848" s="17"/>
      <c r="U848" s="17"/>
      <c r="V848" s="17"/>
      <c r="W848" s="17"/>
    </row>
    <row r="849">
      <c r="T849" s="17"/>
      <c r="U849" s="17"/>
      <c r="V849" s="17"/>
      <c r="W849" s="17"/>
    </row>
    <row r="850">
      <c r="T850" s="17"/>
      <c r="U850" s="17"/>
      <c r="V850" s="17"/>
      <c r="W850" s="17"/>
    </row>
    <row r="851">
      <c r="T851" s="17"/>
      <c r="U851" s="17"/>
      <c r="V851" s="17"/>
      <c r="W851" s="17"/>
    </row>
    <row r="852">
      <c r="T852" s="17"/>
      <c r="U852" s="17"/>
      <c r="V852" s="17"/>
      <c r="W852" s="17"/>
    </row>
    <row r="853">
      <c r="T853" s="17"/>
      <c r="U853" s="17"/>
      <c r="V853" s="17"/>
      <c r="W853" s="17"/>
    </row>
    <row r="854">
      <c r="T854" s="17"/>
      <c r="U854" s="17"/>
      <c r="V854" s="17"/>
      <c r="W854" s="17"/>
    </row>
    <row r="855">
      <c r="T855" s="17"/>
      <c r="U855" s="17"/>
      <c r="V855" s="17"/>
      <c r="W855" s="17"/>
    </row>
    <row r="856">
      <c r="T856" s="17"/>
      <c r="U856" s="17"/>
      <c r="V856" s="17"/>
      <c r="W856" s="17"/>
    </row>
    <row r="857">
      <c r="T857" s="17"/>
      <c r="U857" s="17"/>
      <c r="V857" s="17"/>
      <c r="W857" s="17"/>
    </row>
    <row r="858">
      <c r="T858" s="17"/>
      <c r="U858" s="17"/>
      <c r="V858" s="17"/>
      <c r="W858" s="17"/>
    </row>
    <row r="859">
      <c r="T859" s="17"/>
      <c r="U859" s="17"/>
      <c r="V859" s="17"/>
      <c r="W859" s="17"/>
    </row>
    <row r="860">
      <c r="T860" s="17"/>
      <c r="U860" s="17"/>
      <c r="V860" s="17"/>
      <c r="W860" s="17"/>
    </row>
    <row r="861">
      <c r="T861" s="17"/>
      <c r="U861" s="17"/>
      <c r="V861" s="17"/>
      <c r="W861" s="17"/>
    </row>
    <row r="862">
      <c r="T862" s="17"/>
      <c r="U862" s="17"/>
      <c r="V862" s="17"/>
      <c r="W862" s="17"/>
    </row>
    <row r="863">
      <c r="T863" s="17"/>
      <c r="U863" s="17"/>
      <c r="V863" s="17"/>
      <c r="W863" s="17"/>
    </row>
    <row r="864">
      <c r="T864" s="17"/>
      <c r="U864" s="17"/>
      <c r="V864" s="17"/>
      <c r="W864" s="17"/>
    </row>
    <row r="865">
      <c r="T865" s="17"/>
      <c r="U865" s="17"/>
      <c r="V865" s="17"/>
      <c r="W865" s="17"/>
    </row>
    <row r="866">
      <c r="T866" s="17"/>
      <c r="U866" s="17"/>
      <c r="V866" s="17"/>
      <c r="W866" s="17"/>
    </row>
    <row r="867">
      <c r="T867" s="17"/>
      <c r="U867" s="17"/>
      <c r="V867" s="17"/>
      <c r="W867" s="17"/>
    </row>
    <row r="868">
      <c r="T868" s="17"/>
      <c r="U868" s="17"/>
      <c r="V868" s="17"/>
      <c r="W868" s="17"/>
    </row>
    <row r="869">
      <c r="T869" s="17"/>
      <c r="U869" s="17"/>
      <c r="V869" s="17"/>
      <c r="W869" s="17"/>
    </row>
    <row r="870">
      <c r="T870" s="17"/>
      <c r="U870" s="17"/>
      <c r="V870" s="17"/>
      <c r="W870" s="17"/>
    </row>
    <row r="871">
      <c r="T871" s="17"/>
      <c r="U871" s="17"/>
      <c r="V871" s="17"/>
      <c r="W871" s="17"/>
    </row>
    <row r="872">
      <c r="T872" s="17"/>
      <c r="U872" s="17"/>
      <c r="V872" s="17"/>
      <c r="W872" s="17"/>
    </row>
    <row r="873">
      <c r="T873" s="17"/>
      <c r="U873" s="17"/>
      <c r="V873" s="17"/>
      <c r="W873" s="17"/>
    </row>
    <row r="874">
      <c r="T874" s="17"/>
      <c r="U874" s="17"/>
      <c r="V874" s="17"/>
      <c r="W874" s="17"/>
    </row>
    <row r="875">
      <c r="T875" s="17"/>
      <c r="U875" s="17"/>
      <c r="V875" s="17"/>
      <c r="W875" s="17"/>
    </row>
    <row r="876">
      <c r="T876" s="17"/>
      <c r="U876" s="17"/>
      <c r="V876" s="17"/>
      <c r="W876" s="17"/>
    </row>
    <row r="877">
      <c r="T877" s="17"/>
      <c r="U877" s="17"/>
      <c r="V877" s="17"/>
      <c r="W877" s="17"/>
    </row>
    <row r="878">
      <c r="T878" s="17"/>
      <c r="U878" s="17"/>
      <c r="V878" s="17"/>
      <c r="W878" s="17"/>
    </row>
    <row r="879">
      <c r="T879" s="17"/>
      <c r="U879" s="17"/>
      <c r="V879" s="17"/>
      <c r="W879" s="17"/>
    </row>
    <row r="880">
      <c r="T880" s="17"/>
      <c r="U880" s="17"/>
      <c r="V880" s="17"/>
      <c r="W880" s="17"/>
    </row>
    <row r="881">
      <c r="T881" s="17"/>
      <c r="U881" s="17"/>
      <c r="V881" s="17"/>
      <c r="W881" s="17"/>
    </row>
    <row r="882">
      <c r="T882" s="17"/>
      <c r="U882" s="17"/>
      <c r="V882" s="17"/>
      <c r="W882" s="17"/>
    </row>
    <row r="883">
      <c r="T883" s="17"/>
      <c r="U883" s="17"/>
      <c r="V883" s="17"/>
      <c r="W883" s="17"/>
    </row>
    <row r="884">
      <c r="T884" s="17"/>
      <c r="U884" s="17"/>
      <c r="V884" s="17"/>
      <c r="W884" s="17"/>
    </row>
    <row r="885">
      <c r="T885" s="17"/>
      <c r="U885" s="17"/>
      <c r="V885" s="17"/>
      <c r="W885" s="17"/>
    </row>
    <row r="886">
      <c r="T886" s="17"/>
      <c r="U886" s="17"/>
      <c r="V886" s="17"/>
      <c r="W886" s="17"/>
    </row>
    <row r="887">
      <c r="T887" s="17"/>
      <c r="U887" s="17"/>
      <c r="V887" s="17"/>
      <c r="W887" s="17"/>
    </row>
    <row r="888">
      <c r="T888" s="17"/>
      <c r="U888" s="17"/>
      <c r="V888" s="17"/>
      <c r="W888" s="17"/>
    </row>
    <row r="889">
      <c r="T889" s="17"/>
      <c r="U889" s="17"/>
      <c r="V889" s="17"/>
      <c r="W889" s="17"/>
    </row>
    <row r="890">
      <c r="T890" s="17"/>
      <c r="U890" s="17"/>
      <c r="V890" s="17"/>
      <c r="W890" s="17"/>
    </row>
    <row r="891">
      <c r="T891" s="17"/>
      <c r="U891" s="17"/>
      <c r="V891" s="17"/>
      <c r="W891" s="17"/>
    </row>
    <row r="892">
      <c r="T892" s="17"/>
      <c r="U892" s="17"/>
      <c r="V892" s="17"/>
      <c r="W892" s="17"/>
    </row>
    <row r="893">
      <c r="T893" s="17"/>
      <c r="U893" s="17"/>
      <c r="V893" s="17"/>
      <c r="W893" s="17"/>
    </row>
    <row r="894">
      <c r="T894" s="17"/>
      <c r="U894" s="17"/>
      <c r="V894" s="17"/>
      <c r="W894" s="17"/>
    </row>
    <row r="895">
      <c r="T895" s="17"/>
      <c r="U895" s="17"/>
      <c r="V895" s="17"/>
      <c r="W895" s="17"/>
    </row>
    <row r="896">
      <c r="T896" s="17"/>
      <c r="U896" s="17"/>
      <c r="V896" s="17"/>
      <c r="W896" s="17"/>
    </row>
    <row r="897">
      <c r="T897" s="17"/>
      <c r="U897" s="17"/>
      <c r="V897" s="17"/>
      <c r="W897" s="17"/>
    </row>
    <row r="898">
      <c r="T898" s="17"/>
      <c r="U898" s="17"/>
      <c r="V898" s="17"/>
      <c r="W898" s="17"/>
    </row>
    <row r="899">
      <c r="T899" s="17"/>
      <c r="U899" s="17"/>
      <c r="V899" s="17"/>
      <c r="W899" s="17"/>
    </row>
    <row r="900">
      <c r="T900" s="17"/>
      <c r="U900" s="17"/>
      <c r="V900" s="17"/>
      <c r="W900" s="17"/>
    </row>
    <row r="901">
      <c r="T901" s="17"/>
      <c r="U901" s="17"/>
      <c r="V901" s="17"/>
      <c r="W901" s="17"/>
    </row>
    <row r="902">
      <c r="T902" s="17"/>
      <c r="U902" s="17"/>
      <c r="V902" s="17"/>
      <c r="W902" s="17"/>
    </row>
    <row r="903">
      <c r="T903" s="17"/>
      <c r="U903" s="17"/>
      <c r="V903" s="17"/>
      <c r="W903" s="17"/>
    </row>
    <row r="904">
      <c r="T904" s="17"/>
      <c r="U904" s="17"/>
      <c r="V904" s="17"/>
      <c r="W904" s="17"/>
    </row>
    <row r="905">
      <c r="T905" s="17"/>
      <c r="U905" s="17"/>
      <c r="V905" s="17"/>
      <c r="W905" s="17"/>
    </row>
    <row r="906">
      <c r="T906" s="17"/>
      <c r="U906" s="17"/>
      <c r="V906" s="17"/>
      <c r="W906" s="17"/>
    </row>
    <row r="907">
      <c r="T907" s="17"/>
      <c r="U907" s="17"/>
      <c r="V907" s="17"/>
      <c r="W907" s="17"/>
    </row>
    <row r="908">
      <c r="T908" s="17"/>
      <c r="U908" s="17"/>
      <c r="V908" s="17"/>
      <c r="W908" s="17"/>
    </row>
    <row r="909">
      <c r="T909" s="17"/>
      <c r="U909" s="17"/>
      <c r="V909" s="17"/>
      <c r="W909" s="17"/>
    </row>
    <row r="910">
      <c r="T910" s="17"/>
      <c r="U910" s="17"/>
      <c r="V910" s="17"/>
      <c r="W910" s="17"/>
    </row>
    <row r="911">
      <c r="T911" s="17"/>
      <c r="U911" s="17"/>
      <c r="V911" s="17"/>
      <c r="W911" s="17"/>
    </row>
    <row r="912">
      <c r="T912" s="17"/>
      <c r="U912" s="17"/>
      <c r="V912" s="17"/>
      <c r="W912" s="17"/>
    </row>
    <row r="913">
      <c r="T913" s="17"/>
      <c r="U913" s="17"/>
      <c r="V913" s="17"/>
      <c r="W913" s="17"/>
    </row>
    <row r="914">
      <c r="T914" s="17"/>
      <c r="U914" s="17"/>
      <c r="V914" s="17"/>
      <c r="W914" s="17"/>
    </row>
    <row r="915">
      <c r="T915" s="17"/>
      <c r="U915" s="17"/>
      <c r="V915" s="17"/>
      <c r="W915" s="17"/>
    </row>
    <row r="916">
      <c r="T916" s="17"/>
      <c r="U916" s="17"/>
      <c r="V916" s="17"/>
      <c r="W916" s="17"/>
    </row>
    <row r="917">
      <c r="T917" s="17"/>
      <c r="U917" s="17"/>
      <c r="V917" s="17"/>
      <c r="W917" s="17"/>
    </row>
    <row r="918">
      <c r="T918" s="17"/>
      <c r="U918" s="17"/>
      <c r="V918" s="17"/>
      <c r="W918" s="17"/>
    </row>
    <row r="919">
      <c r="T919" s="17"/>
      <c r="U919" s="17"/>
      <c r="V919" s="17"/>
      <c r="W919" s="17"/>
    </row>
    <row r="920">
      <c r="T920" s="17"/>
      <c r="U920" s="17"/>
      <c r="V920" s="17"/>
      <c r="W920" s="17"/>
    </row>
    <row r="921">
      <c r="T921" s="17"/>
      <c r="U921" s="17"/>
      <c r="V921" s="17"/>
      <c r="W921" s="17"/>
    </row>
    <row r="922">
      <c r="T922" s="17"/>
      <c r="U922" s="17"/>
      <c r="V922" s="17"/>
      <c r="W922" s="17"/>
    </row>
    <row r="923">
      <c r="T923" s="17"/>
      <c r="U923" s="17"/>
      <c r="V923" s="17"/>
      <c r="W923" s="17"/>
    </row>
    <row r="924">
      <c r="T924" s="17"/>
      <c r="U924" s="17"/>
      <c r="V924" s="17"/>
      <c r="W924" s="17"/>
    </row>
    <row r="925">
      <c r="T925" s="17"/>
      <c r="U925" s="17"/>
      <c r="V925" s="17"/>
      <c r="W925" s="17"/>
    </row>
    <row r="926">
      <c r="T926" s="17"/>
      <c r="U926" s="17"/>
      <c r="V926" s="17"/>
      <c r="W926" s="17"/>
    </row>
    <row r="927">
      <c r="T927" s="17"/>
      <c r="U927" s="17"/>
      <c r="V927" s="17"/>
      <c r="W927" s="17"/>
    </row>
    <row r="928">
      <c r="T928" s="17"/>
      <c r="U928" s="17"/>
      <c r="V928" s="17"/>
      <c r="W928" s="17"/>
    </row>
    <row r="929">
      <c r="T929" s="17"/>
      <c r="U929" s="17"/>
      <c r="V929" s="17"/>
      <c r="W929" s="17"/>
    </row>
    <row r="930">
      <c r="T930" s="17"/>
      <c r="U930" s="17"/>
      <c r="V930" s="17"/>
      <c r="W930" s="17"/>
    </row>
    <row r="931">
      <c r="T931" s="17"/>
      <c r="U931" s="17"/>
      <c r="V931" s="17"/>
      <c r="W931" s="17"/>
    </row>
    <row r="932">
      <c r="T932" s="17"/>
      <c r="U932" s="17"/>
      <c r="V932" s="17"/>
      <c r="W932" s="17"/>
    </row>
    <row r="933">
      <c r="T933" s="17"/>
      <c r="U933" s="17"/>
      <c r="V933" s="17"/>
      <c r="W933" s="17"/>
    </row>
    <row r="934">
      <c r="T934" s="17"/>
      <c r="U934" s="17"/>
      <c r="V934" s="17"/>
      <c r="W934" s="17"/>
    </row>
    <row r="935">
      <c r="T935" s="17"/>
      <c r="U935" s="17"/>
      <c r="V935" s="17"/>
      <c r="W935" s="17"/>
    </row>
    <row r="936">
      <c r="T936" s="17"/>
      <c r="U936" s="17"/>
      <c r="V936" s="17"/>
      <c r="W936" s="17"/>
    </row>
    <row r="937">
      <c r="T937" s="17"/>
      <c r="U937" s="17"/>
      <c r="V937" s="17"/>
      <c r="W937" s="17"/>
    </row>
    <row r="938">
      <c r="T938" s="17"/>
      <c r="U938" s="17"/>
      <c r="V938" s="17"/>
      <c r="W938" s="17"/>
    </row>
    <row r="939">
      <c r="T939" s="17"/>
      <c r="U939" s="17"/>
      <c r="V939" s="17"/>
      <c r="W939" s="17"/>
    </row>
    <row r="940">
      <c r="T940" s="17"/>
      <c r="U940" s="17"/>
      <c r="V940" s="17"/>
      <c r="W940" s="17"/>
    </row>
    <row r="941">
      <c r="T941" s="17"/>
      <c r="U941" s="17"/>
      <c r="V941" s="17"/>
      <c r="W941" s="17"/>
    </row>
    <row r="942">
      <c r="T942" s="17"/>
      <c r="U942" s="17"/>
      <c r="V942" s="17"/>
      <c r="W942" s="17"/>
    </row>
    <row r="943">
      <c r="T943" s="17"/>
      <c r="U943" s="17"/>
      <c r="V943" s="17"/>
      <c r="W943" s="17"/>
    </row>
    <row r="944">
      <c r="T944" s="17"/>
      <c r="U944" s="17"/>
      <c r="V944" s="17"/>
      <c r="W944" s="17"/>
    </row>
    <row r="945">
      <c r="T945" s="17"/>
      <c r="U945" s="17"/>
      <c r="V945" s="17"/>
      <c r="W945" s="17"/>
    </row>
    <row r="946">
      <c r="T946" s="17"/>
      <c r="U946" s="17"/>
      <c r="V946" s="17"/>
      <c r="W946" s="17"/>
    </row>
    <row r="947">
      <c r="T947" s="17"/>
      <c r="U947" s="17"/>
      <c r="V947" s="17"/>
      <c r="W947" s="17"/>
    </row>
    <row r="948">
      <c r="T948" s="17"/>
      <c r="U948" s="17"/>
      <c r="V948" s="17"/>
      <c r="W948" s="17"/>
    </row>
    <row r="949">
      <c r="T949" s="17"/>
      <c r="U949" s="17"/>
      <c r="V949" s="17"/>
      <c r="W949" s="17"/>
    </row>
    <row r="950">
      <c r="T950" s="17"/>
      <c r="U950" s="17"/>
      <c r="V950" s="17"/>
      <c r="W950" s="17"/>
    </row>
    <row r="951">
      <c r="T951" s="17"/>
      <c r="U951" s="17"/>
      <c r="V951" s="17"/>
      <c r="W951" s="17"/>
    </row>
    <row r="952">
      <c r="T952" s="17"/>
      <c r="U952" s="17"/>
      <c r="V952" s="17"/>
      <c r="W952" s="17"/>
    </row>
    <row r="953">
      <c r="T953" s="17"/>
      <c r="U953" s="17"/>
      <c r="V953" s="17"/>
      <c r="W953" s="17"/>
    </row>
    <row r="954">
      <c r="T954" s="17"/>
      <c r="U954" s="17"/>
      <c r="V954" s="17"/>
      <c r="W954" s="17"/>
    </row>
    <row r="955">
      <c r="T955" s="17"/>
      <c r="U955" s="17"/>
      <c r="V955" s="17"/>
      <c r="W955" s="17"/>
    </row>
    <row r="956">
      <c r="T956" s="17"/>
      <c r="U956" s="17"/>
      <c r="V956" s="17"/>
      <c r="W956" s="17"/>
    </row>
    <row r="957">
      <c r="T957" s="17"/>
      <c r="U957" s="17"/>
      <c r="V957" s="17"/>
      <c r="W957" s="17"/>
    </row>
    <row r="958">
      <c r="T958" s="17"/>
      <c r="U958" s="17"/>
      <c r="V958" s="17"/>
      <c r="W958" s="17"/>
    </row>
    <row r="959">
      <c r="T959" s="17"/>
      <c r="U959" s="17"/>
      <c r="V959" s="17"/>
      <c r="W959" s="17"/>
    </row>
    <row r="960">
      <c r="T960" s="17"/>
      <c r="U960" s="17"/>
      <c r="V960" s="17"/>
      <c r="W960" s="17"/>
    </row>
    <row r="961">
      <c r="T961" s="17"/>
      <c r="U961" s="17"/>
      <c r="V961" s="17"/>
      <c r="W961" s="17"/>
    </row>
    <row r="962">
      <c r="T962" s="17"/>
      <c r="U962" s="17"/>
      <c r="V962" s="17"/>
      <c r="W962" s="17"/>
    </row>
    <row r="963">
      <c r="T963" s="17"/>
      <c r="U963" s="17"/>
      <c r="V963" s="17"/>
      <c r="W963" s="17"/>
    </row>
    <row r="964">
      <c r="T964" s="17"/>
      <c r="U964" s="17"/>
      <c r="V964" s="17"/>
      <c r="W964" s="17"/>
    </row>
    <row r="965">
      <c r="T965" s="17"/>
      <c r="U965" s="17"/>
      <c r="V965" s="17"/>
      <c r="W965" s="17"/>
    </row>
    <row r="966">
      <c r="T966" s="17"/>
      <c r="U966" s="17"/>
      <c r="V966" s="17"/>
      <c r="W966" s="17"/>
    </row>
    <row r="967">
      <c r="T967" s="17"/>
      <c r="U967" s="17"/>
      <c r="V967" s="17"/>
      <c r="W967" s="17"/>
    </row>
    <row r="968">
      <c r="T968" s="17"/>
      <c r="U968" s="17"/>
      <c r="V968" s="17"/>
      <c r="W968" s="17"/>
    </row>
    <row r="969">
      <c r="T969" s="17"/>
      <c r="U969" s="17"/>
      <c r="V969" s="17"/>
      <c r="W969" s="17"/>
    </row>
    <row r="970">
      <c r="T970" s="17"/>
      <c r="U970" s="17"/>
      <c r="V970" s="17"/>
      <c r="W970" s="17"/>
    </row>
    <row r="971">
      <c r="T971" s="17"/>
      <c r="U971" s="17"/>
      <c r="V971" s="17"/>
      <c r="W971" s="17"/>
    </row>
    <row r="972">
      <c r="T972" s="17"/>
      <c r="U972" s="17"/>
      <c r="V972" s="17"/>
      <c r="W972" s="17"/>
    </row>
    <row r="973">
      <c r="T973" s="17"/>
      <c r="U973" s="17"/>
      <c r="V973" s="17"/>
      <c r="W973" s="17"/>
    </row>
    <row r="974">
      <c r="T974" s="17"/>
      <c r="U974" s="17"/>
      <c r="V974" s="17"/>
      <c r="W974" s="17"/>
    </row>
    <row r="975">
      <c r="T975" s="17"/>
      <c r="U975" s="17"/>
      <c r="V975" s="17"/>
      <c r="W975" s="17"/>
    </row>
    <row r="976">
      <c r="T976" s="17"/>
      <c r="U976" s="17"/>
      <c r="V976" s="17"/>
      <c r="W976" s="17"/>
    </row>
    <row r="977">
      <c r="T977" s="17"/>
      <c r="U977" s="17"/>
      <c r="V977" s="17"/>
      <c r="W977" s="17"/>
    </row>
    <row r="978">
      <c r="T978" s="17"/>
      <c r="U978" s="17"/>
      <c r="V978" s="17"/>
      <c r="W978" s="17"/>
    </row>
    <row r="979">
      <c r="T979" s="17"/>
      <c r="U979" s="17"/>
      <c r="V979" s="17"/>
      <c r="W979" s="17"/>
    </row>
    <row r="980">
      <c r="T980" s="17"/>
      <c r="U980" s="17"/>
      <c r="V980" s="17"/>
      <c r="W980" s="17"/>
    </row>
    <row r="981">
      <c r="T981" s="17"/>
      <c r="U981" s="17"/>
      <c r="V981" s="17"/>
      <c r="W981" s="17"/>
    </row>
    <row r="982">
      <c r="T982" s="17"/>
      <c r="U982" s="17"/>
      <c r="V982" s="17"/>
      <c r="W982" s="17"/>
    </row>
    <row r="983">
      <c r="T983" s="17"/>
      <c r="U983" s="17"/>
      <c r="V983" s="17"/>
      <c r="W983" s="17"/>
    </row>
    <row r="984">
      <c r="T984" s="17"/>
      <c r="U984" s="17"/>
      <c r="V984" s="17"/>
      <c r="W984" s="17"/>
    </row>
    <row r="985">
      <c r="T985" s="17"/>
      <c r="U985" s="17"/>
      <c r="V985" s="17"/>
      <c r="W985" s="17"/>
    </row>
    <row r="986">
      <c r="T986" s="17"/>
      <c r="U986" s="17"/>
      <c r="V986" s="17"/>
      <c r="W986" s="17"/>
    </row>
    <row r="987">
      <c r="T987" s="17"/>
      <c r="U987" s="17"/>
      <c r="V987" s="17"/>
      <c r="W987" s="17"/>
    </row>
    <row r="988">
      <c r="T988" s="17"/>
      <c r="U988" s="17"/>
      <c r="V988" s="17"/>
      <c r="W988" s="17"/>
    </row>
    <row r="989">
      <c r="T989" s="17"/>
      <c r="U989" s="17"/>
      <c r="V989" s="17"/>
      <c r="W989" s="17"/>
    </row>
    <row r="990">
      <c r="T990" s="17"/>
      <c r="U990" s="17"/>
      <c r="V990" s="17"/>
      <c r="W990" s="17"/>
    </row>
    <row r="991">
      <c r="T991" s="17"/>
      <c r="U991" s="17"/>
      <c r="V991" s="17"/>
      <c r="W991" s="17"/>
    </row>
    <row r="992">
      <c r="T992" s="17"/>
      <c r="U992" s="17"/>
      <c r="V992" s="17"/>
      <c r="W992" s="17"/>
    </row>
    <row r="993">
      <c r="T993" s="17"/>
      <c r="U993" s="17"/>
      <c r="V993" s="17"/>
      <c r="W993" s="17"/>
    </row>
    <row r="994">
      <c r="T994" s="17"/>
      <c r="U994" s="17"/>
      <c r="V994" s="17"/>
      <c r="W994" s="17"/>
    </row>
    <row r="995">
      <c r="T995" s="17"/>
      <c r="U995" s="17"/>
      <c r="V995" s="17"/>
      <c r="W995" s="17"/>
    </row>
    <row r="996">
      <c r="T996" s="17"/>
      <c r="U996" s="17"/>
      <c r="V996" s="17"/>
      <c r="W996" s="17"/>
    </row>
    <row r="997">
      <c r="T997" s="17"/>
      <c r="U997" s="17"/>
      <c r="V997" s="17"/>
      <c r="W997" s="17"/>
    </row>
    <row r="998">
      <c r="T998" s="17"/>
      <c r="U998" s="17"/>
      <c r="V998" s="17"/>
      <c r="W998" s="17"/>
    </row>
    <row r="999">
      <c r="T999" s="17"/>
      <c r="U999" s="17"/>
      <c r="V999" s="17"/>
      <c r="W999" s="17"/>
    </row>
    <row r="1000">
      <c r="T1000" s="17"/>
      <c r="U1000" s="17"/>
      <c r="V1000" s="17"/>
      <c r="W1000" s="1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9.25"/>
  </cols>
  <sheetData>
    <row r="1">
      <c r="A1" s="3" t="s">
        <v>0</v>
      </c>
      <c r="B1" s="3" t="s">
        <v>2</v>
      </c>
      <c r="C1" s="3" t="s">
        <v>3</v>
      </c>
      <c r="D1" s="3" t="s">
        <v>4</v>
      </c>
      <c r="E1" s="3" t="s">
        <v>5</v>
      </c>
      <c r="F1" s="3" t="s">
        <v>7</v>
      </c>
      <c r="G1" s="3" t="s">
        <v>8</v>
      </c>
      <c r="H1" s="3" t="s">
        <v>10</v>
      </c>
      <c r="I1" s="3" t="s">
        <v>11</v>
      </c>
      <c r="J1" s="3" t="s">
        <v>13</v>
      </c>
      <c r="K1" s="3" t="s">
        <v>14</v>
      </c>
      <c r="L1" s="4" t="s">
        <v>17</v>
      </c>
      <c r="M1" s="4" t="s">
        <v>18</v>
      </c>
      <c r="N1" s="4" t="s">
        <v>19</v>
      </c>
      <c r="O1" s="4" t="s">
        <v>20</v>
      </c>
      <c r="P1" s="4" t="s">
        <v>21</v>
      </c>
      <c r="Q1" s="4" t="s">
        <v>22</v>
      </c>
      <c r="R1" s="4" t="s">
        <v>23</v>
      </c>
      <c r="S1" s="4" t="s">
        <v>24</v>
      </c>
      <c r="T1" s="5" t="s">
        <v>25</v>
      </c>
      <c r="U1" s="5" t="s">
        <v>26</v>
      </c>
      <c r="V1" s="5" t="s">
        <v>27</v>
      </c>
      <c r="W1" s="5" t="s">
        <v>28</v>
      </c>
      <c r="X1" s="6"/>
      <c r="Y1" s="6"/>
      <c r="Z1" s="6"/>
    </row>
    <row r="2">
      <c r="A2" s="8" t="s">
        <v>31</v>
      </c>
      <c r="B2" s="8" t="s">
        <v>35</v>
      </c>
      <c r="C2" s="8" t="s">
        <v>37</v>
      </c>
      <c r="D2" s="8" t="s">
        <v>39</v>
      </c>
      <c r="E2" s="8" t="s">
        <v>40</v>
      </c>
      <c r="F2" s="8" t="s">
        <v>42</v>
      </c>
      <c r="G2" s="8" t="s">
        <v>38</v>
      </c>
      <c r="H2" s="9" t="s">
        <v>46</v>
      </c>
      <c r="I2" s="9" t="s">
        <v>47</v>
      </c>
      <c r="J2" s="11" t="s">
        <v>45</v>
      </c>
      <c r="K2" s="11" t="s">
        <v>44</v>
      </c>
      <c r="L2" s="12">
        <v>5.0</v>
      </c>
      <c r="M2" s="12" t="s">
        <v>51</v>
      </c>
      <c r="N2" s="12">
        <v>5.0</v>
      </c>
      <c r="O2" s="12" t="s">
        <v>53</v>
      </c>
      <c r="P2" s="12">
        <v>5.0</v>
      </c>
      <c r="Q2" s="12" t="s">
        <v>54</v>
      </c>
      <c r="R2" s="12">
        <v>5.0</v>
      </c>
      <c r="S2" s="12" t="s">
        <v>55</v>
      </c>
      <c r="T2" s="14">
        <v>0.54</v>
      </c>
      <c r="U2" s="14">
        <v>0.397</v>
      </c>
      <c r="V2" s="14">
        <v>0.065</v>
      </c>
      <c r="W2" s="14">
        <v>0.167</v>
      </c>
    </row>
    <row r="3">
      <c r="A3" s="8" t="s">
        <v>63</v>
      </c>
      <c r="B3" s="8" t="s">
        <v>65</v>
      </c>
      <c r="C3" s="8" t="s">
        <v>67</v>
      </c>
      <c r="D3" s="8" t="s">
        <v>68</v>
      </c>
      <c r="E3" s="8" t="s">
        <v>70</v>
      </c>
      <c r="F3" s="8" t="s">
        <v>71</v>
      </c>
      <c r="G3" s="8" t="s">
        <v>62</v>
      </c>
      <c r="H3" s="15" t="s">
        <v>73</v>
      </c>
      <c r="I3" s="15" t="s">
        <v>75</v>
      </c>
      <c r="J3" s="11" t="s">
        <v>69</v>
      </c>
      <c r="K3" s="11" t="s">
        <v>44</v>
      </c>
      <c r="L3" s="12">
        <v>3.0</v>
      </c>
      <c r="M3" s="12" t="s">
        <v>78</v>
      </c>
      <c r="N3" s="12">
        <v>3.0</v>
      </c>
      <c r="O3" s="12" t="s">
        <v>79</v>
      </c>
      <c r="P3" s="12">
        <v>3.0</v>
      </c>
      <c r="Q3" s="12" t="s">
        <v>80</v>
      </c>
      <c r="R3" s="12">
        <v>3.0</v>
      </c>
      <c r="S3" s="12" t="s">
        <v>82</v>
      </c>
      <c r="T3" s="14">
        <v>0.584</v>
      </c>
      <c r="U3" s="14">
        <v>0.327</v>
      </c>
      <c r="V3" s="14">
        <v>0.039</v>
      </c>
      <c r="W3" s="14">
        <v>0.154</v>
      </c>
    </row>
    <row r="4">
      <c r="A4" s="8" t="s">
        <v>87</v>
      </c>
      <c r="B4" s="8" t="s">
        <v>89</v>
      </c>
      <c r="C4" s="8" t="s">
        <v>91</v>
      </c>
      <c r="D4" s="8" t="s">
        <v>93</v>
      </c>
      <c r="E4" s="8" t="s">
        <v>94</v>
      </c>
      <c r="F4" s="8" t="s">
        <v>96</v>
      </c>
      <c r="G4" s="8" t="s">
        <v>62</v>
      </c>
      <c r="H4" s="15" t="s">
        <v>97</v>
      </c>
      <c r="I4" s="9" t="s">
        <v>99</v>
      </c>
      <c r="J4" s="11" t="s">
        <v>69</v>
      </c>
      <c r="K4" s="11" t="s">
        <v>44</v>
      </c>
      <c r="L4" s="12">
        <v>2.0</v>
      </c>
      <c r="M4" s="12" t="s">
        <v>101</v>
      </c>
      <c r="N4" s="12">
        <v>2.0</v>
      </c>
      <c r="O4" s="12" t="s">
        <v>103</v>
      </c>
      <c r="P4" s="12">
        <v>2.0</v>
      </c>
      <c r="Q4" s="12" t="s">
        <v>105</v>
      </c>
      <c r="R4" s="12">
        <v>2.0</v>
      </c>
      <c r="S4" s="12" t="s">
        <v>106</v>
      </c>
      <c r="T4" s="14">
        <v>0.496</v>
      </c>
      <c r="U4" s="14">
        <v>0.283</v>
      </c>
      <c r="V4" s="14">
        <v>0.041</v>
      </c>
      <c r="W4" s="14">
        <v>0.222</v>
      </c>
    </row>
    <row r="5">
      <c r="A5" s="8" t="s">
        <v>108</v>
      </c>
      <c r="B5" s="8" t="s">
        <v>109</v>
      </c>
      <c r="C5" s="8" t="s">
        <v>110</v>
      </c>
      <c r="D5" s="8" t="s">
        <v>112</v>
      </c>
      <c r="E5" s="8" t="s">
        <v>113</v>
      </c>
      <c r="F5" s="8" t="s">
        <v>115</v>
      </c>
      <c r="G5" s="8" t="s">
        <v>38</v>
      </c>
      <c r="H5" s="15" t="s">
        <v>117</v>
      </c>
      <c r="I5" s="9" t="s">
        <v>119</v>
      </c>
      <c r="J5" s="11" t="s">
        <v>45</v>
      </c>
      <c r="K5" s="11" t="s">
        <v>44</v>
      </c>
      <c r="L5" s="12">
        <v>2.0</v>
      </c>
      <c r="M5" s="12" t="s">
        <v>125</v>
      </c>
      <c r="N5" s="12">
        <v>3.0</v>
      </c>
      <c r="O5" s="12" t="s">
        <v>127</v>
      </c>
      <c r="P5" s="12">
        <v>3.0</v>
      </c>
      <c r="Q5" s="16" t="s">
        <v>128</v>
      </c>
      <c r="R5" s="12">
        <v>3.0</v>
      </c>
      <c r="S5" s="12" t="s">
        <v>136</v>
      </c>
      <c r="T5" s="14">
        <v>0.484</v>
      </c>
      <c r="U5" s="14">
        <v>0.222</v>
      </c>
      <c r="V5" s="14">
        <v>0.034</v>
      </c>
      <c r="W5" s="14">
        <v>0.133</v>
      </c>
    </row>
    <row r="6">
      <c r="A6" s="8" t="s">
        <v>142</v>
      </c>
      <c r="B6" s="8" t="s">
        <v>145</v>
      </c>
      <c r="C6" s="8" t="s">
        <v>146</v>
      </c>
      <c r="D6" s="8" t="s">
        <v>147</v>
      </c>
      <c r="E6" s="8" t="s">
        <v>148</v>
      </c>
      <c r="F6" s="8" t="s">
        <v>150</v>
      </c>
      <c r="G6" s="8" t="s">
        <v>62</v>
      </c>
      <c r="H6" s="9" t="s">
        <v>154</v>
      </c>
      <c r="I6" s="9" t="s">
        <v>156</v>
      </c>
      <c r="J6" s="11" t="s">
        <v>69</v>
      </c>
      <c r="K6" s="11" t="s">
        <v>44</v>
      </c>
      <c r="L6" s="12">
        <v>3.0</v>
      </c>
      <c r="M6" s="12" t="s">
        <v>160</v>
      </c>
      <c r="N6" s="12">
        <v>3.0</v>
      </c>
      <c r="O6" s="12" t="s">
        <v>163</v>
      </c>
      <c r="P6" s="12">
        <v>3.0</v>
      </c>
      <c r="Q6" s="12" t="s">
        <v>165</v>
      </c>
      <c r="R6" s="12">
        <v>3.0</v>
      </c>
      <c r="S6" s="12" t="s">
        <v>166</v>
      </c>
      <c r="T6" s="14">
        <v>0.492</v>
      </c>
      <c r="U6" s="14">
        <v>0.231</v>
      </c>
      <c r="V6" s="14">
        <v>0.028</v>
      </c>
      <c r="W6" s="14">
        <v>0.136</v>
      </c>
    </row>
    <row r="7">
      <c r="A7" s="8" t="s">
        <v>174</v>
      </c>
      <c r="B7" s="8" t="s">
        <v>176</v>
      </c>
      <c r="C7" s="8" t="s">
        <v>177</v>
      </c>
      <c r="D7" s="8" t="s">
        <v>179</v>
      </c>
      <c r="E7" s="8" t="s">
        <v>180</v>
      </c>
      <c r="F7" s="8" t="s">
        <v>182</v>
      </c>
      <c r="G7" s="8" t="s">
        <v>62</v>
      </c>
      <c r="H7" s="9" t="s">
        <v>184</v>
      </c>
      <c r="I7" s="9" t="s">
        <v>186</v>
      </c>
      <c r="J7" s="11" t="s">
        <v>69</v>
      </c>
      <c r="K7" s="11" t="s">
        <v>44</v>
      </c>
      <c r="L7" s="12">
        <v>2.0</v>
      </c>
      <c r="M7" s="12" t="s">
        <v>188</v>
      </c>
      <c r="N7" s="12">
        <v>2.0</v>
      </c>
      <c r="O7" s="12" t="s">
        <v>190</v>
      </c>
      <c r="P7" s="12">
        <v>2.0</v>
      </c>
      <c r="Q7" s="12" t="s">
        <v>193</v>
      </c>
      <c r="R7" s="12">
        <v>2.0</v>
      </c>
      <c r="S7" s="12" t="s">
        <v>195</v>
      </c>
      <c r="T7" s="14">
        <v>0.456</v>
      </c>
      <c r="U7" s="14">
        <v>0.163</v>
      </c>
      <c r="V7" s="14">
        <v>0.011</v>
      </c>
      <c r="W7" s="14">
        <v>0.109</v>
      </c>
    </row>
    <row r="8">
      <c r="A8" s="8" t="s">
        <v>201</v>
      </c>
      <c r="B8" s="8" t="s">
        <v>203</v>
      </c>
      <c r="C8" s="8" t="s">
        <v>204</v>
      </c>
      <c r="D8" s="8" t="s">
        <v>205</v>
      </c>
      <c r="E8" s="8" t="s">
        <v>207</v>
      </c>
      <c r="F8" s="8" t="s">
        <v>208</v>
      </c>
      <c r="G8" s="8" t="s">
        <v>62</v>
      </c>
      <c r="H8" s="15" t="s">
        <v>213</v>
      </c>
      <c r="I8" s="9" t="s">
        <v>215</v>
      </c>
      <c r="J8" s="11" t="s">
        <v>69</v>
      </c>
      <c r="K8" s="11" t="s">
        <v>44</v>
      </c>
      <c r="L8" s="12">
        <v>1.0</v>
      </c>
      <c r="M8" s="12" t="s">
        <v>219</v>
      </c>
      <c r="N8" s="12">
        <v>1.0</v>
      </c>
      <c r="O8" s="12" t="s">
        <v>221</v>
      </c>
      <c r="P8" s="12">
        <v>1.0</v>
      </c>
      <c r="Q8" s="12" t="s">
        <v>223</v>
      </c>
      <c r="R8" s="12">
        <v>2.0</v>
      </c>
      <c r="S8" s="12" t="s">
        <v>224</v>
      </c>
      <c r="T8" s="14">
        <v>0.535</v>
      </c>
      <c r="U8" s="14">
        <v>0.264</v>
      </c>
      <c r="V8" s="14">
        <v>0.067</v>
      </c>
      <c r="W8" s="14">
        <v>0.154</v>
      </c>
    </row>
    <row r="9">
      <c r="A9" s="8" t="s">
        <v>230</v>
      </c>
      <c r="B9" s="8" t="s">
        <v>232</v>
      </c>
      <c r="C9" s="8" t="s">
        <v>234</v>
      </c>
      <c r="D9" s="8" t="s">
        <v>235</v>
      </c>
      <c r="E9" s="8" t="s">
        <v>236</v>
      </c>
      <c r="F9" s="8" t="s">
        <v>238</v>
      </c>
      <c r="G9" s="8" t="s">
        <v>62</v>
      </c>
      <c r="H9" s="9" t="s">
        <v>239</v>
      </c>
      <c r="I9" s="9" t="s">
        <v>241</v>
      </c>
      <c r="J9" s="11" t="s">
        <v>69</v>
      </c>
      <c r="K9" s="11" t="s">
        <v>139</v>
      </c>
      <c r="L9" s="12">
        <v>2.0</v>
      </c>
      <c r="M9" s="12" t="s">
        <v>250</v>
      </c>
      <c r="N9" s="12">
        <v>3.0</v>
      </c>
      <c r="O9" s="12" t="s">
        <v>252</v>
      </c>
      <c r="P9" s="12">
        <v>3.0</v>
      </c>
      <c r="Q9" s="12" t="s">
        <v>255</v>
      </c>
      <c r="R9" s="12">
        <v>3.0</v>
      </c>
      <c r="S9" s="12" t="s">
        <v>256</v>
      </c>
      <c r="T9" s="14">
        <v>0.588</v>
      </c>
      <c r="U9" s="14">
        <v>0.376</v>
      </c>
      <c r="V9" s="14">
        <v>0.057</v>
      </c>
      <c r="W9" s="14">
        <v>0.216</v>
      </c>
    </row>
    <row r="10">
      <c r="A10" s="8" t="s">
        <v>262</v>
      </c>
      <c r="B10" s="8" t="s">
        <v>263</v>
      </c>
      <c r="C10" s="8" t="s">
        <v>264</v>
      </c>
      <c r="D10" s="8" t="s">
        <v>265</v>
      </c>
      <c r="E10" s="8" t="s">
        <v>266</v>
      </c>
      <c r="F10" s="8" t="s">
        <v>267</v>
      </c>
      <c r="G10" s="8" t="s">
        <v>62</v>
      </c>
      <c r="H10" s="15" t="s">
        <v>269</v>
      </c>
      <c r="I10" s="15" t="s">
        <v>272</v>
      </c>
      <c r="J10" s="11" t="s">
        <v>69</v>
      </c>
      <c r="K10" s="11" t="s">
        <v>139</v>
      </c>
      <c r="L10" s="12">
        <v>1.0</v>
      </c>
      <c r="M10" s="12" t="s">
        <v>274</v>
      </c>
      <c r="N10" s="12">
        <v>3.0</v>
      </c>
      <c r="O10" s="12" t="s">
        <v>276</v>
      </c>
      <c r="P10" s="12">
        <v>3.0</v>
      </c>
      <c r="Q10" s="12" t="s">
        <v>277</v>
      </c>
      <c r="R10" s="12">
        <v>3.0</v>
      </c>
      <c r="S10" s="12" t="s">
        <v>278</v>
      </c>
      <c r="T10" s="14">
        <v>0.554</v>
      </c>
      <c r="U10" s="14">
        <v>0.398</v>
      </c>
      <c r="V10" s="14">
        <v>0.111</v>
      </c>
      <c r="W10" s="14">
        <v>0.209</v>
      </c>
    </row>
    <row r="11">
      <c r="A11" s="8" t="s">
        <v>285</v>
      </c>
      <c r="B11" s="8" t="s">
        <v>286</v>
      </c>
      <c r="C11" s="8" t="s">
        <v>287</v>
      </c>
      <c r="D11" s="8" t="s">
        <v>289</v>
      </c>
      <c r="E11" s="8" t="s">
        <v>295</v>
      </c>
      <c r="F11" s="8" t="s">
        <v>297</v>
      </c>
      <c r="G11" s="8" t="s">
        <v>135</v>
      </c>
      <c r="H11" s="15" t="s">
        <v>301</v>
      </c>
      <c r="I11" s="15" t="s">
        <v>304</v>
      </c>
      <c r="J11" s="11" t="s">
        <v>69</v>
      </c>
      <c r="K11" s="11" t="s">
        <v>139</v>
      </c>
      <c r="L11" s="12">
        <v>3.0</v>
      </c>
      <c r="M11" s="12" t="s">
        <v>307</v>
      </c>
      <c r="N11" s="12">
        <v>2.0</v>
      </c>
      <c r="O11" s="12" t="s">
        <v>308</v>
      </c>
      <c r="P11" s="12">
        <v>3.0</v>
      </c>
      <c r="Q11" s="12" t="s">
        <v>255</v>
      </c>
      <c r="R11" s="12">
        <v>2.0</v>
      </c>
      <c r="S11" s="12" t="s">
        <v>311</v>
      </c>
      <c r="T11" s="14">
        <v>0.504</v>
      </c>
      <c r="U11" s="14">
        <v>0.276</v>
      </c>
      <c r="V11" s="14">
        <v>0.04</v>
      </c>
      <c r="W11" s="14">
        <v>0.211</v>
      </c>
    </row>
    <row r="12">
      <c r="A12" s="8" t="s">
        <v>314</v>
      </c>
      <c r="B12" s="8" t="s">
        <v>315</v>
      </c>
      <c r="C12" s="8" t="s">
        <v>316</v>
      </c>
      <c r="D12" s="8" t="s">
        <v>318</v>
      </c>
      <c r="E12" s="8" t="s">
        <v>320</v>
      </c>
      <c r="F12" s="8" t="s">
        <v>322</v>
      </c>
      <c r="G12" s="8" t="s">
        <v>135</v>
      </c>
      <c r="H12" s="15" t="s">
        <v>326</v>
      </c>
      <c r="I12" s="15" t="s">
        <v>328</v>
      </c>
      <c r="J12" s="11" t="s">
        <v>69</v>
      </c>
      <c r="K12" s="11" t="s">
        <v>139</v>
      </c>
      <c r="L12" s="12">
        <v>4.0</v>
      </c>
      <c r="M12" s="12" t="s">
        <v>330</v>
      </c>
      <c r="N12" s="12">
        <v>3.0</v>
      </c>
      <c r="O12" s="12" t="s">
        <v>332</v>
      </c>
      <c r="P12" s="12">
        <v>3.0</v>
      </c>
      <c r="Q12" s="12" t="s">
        <v>277</v>
      </c>
      <c r="R12" s="12">
        <v>3.0</v>
      </c>
      <c r="S12" s="12" t="s">
        <v>335</v>
      </c>
      <c r="T12" s="14">
        <v>0.619</v>
      </c>
      <c r="U12" s="14">
        <v>0.362</v>
      </c>
      <c r="V12" s="14">
        <v>0.144</v>
      </c>
      <c r="W12" s="14">
        <v>0.257</v>
      </c>
    </row>
    <row r="13">
      <c r="A13" s="8" t="s">
        <v>338</v>
      </c>
      <c r="B13" s="8" t="s">
        <v>339</v>
      </c>
      <c r="C13" s="8" t="s">
        <v>340</v>
      </c>
      <c r="D13" s="8" t="s">
        <v>342</v>
      </c>
      <c r="E13" s="8" t="s">
        <v>343</v>
      </c>
      <c r="F13" s="8" t="s">
        <v>344</v>
      </c>
      <c r="G13" s="8" t="s">
        <v>90</v>
      </c>
      <c r="H13" s="15" t="s">
        <v>345</v>
      </c>
      <c r="I13" s="15" t="s">
        <v>346</v>
      </c>
      <c r="J13" s="11" t="s">
        <v>69</v>
      </c>
      <c r="K13" s="11" t="s">
        <v>139</v>
      </c>
      <c r="L13" s="12">
        <v>1.0</v>
      </c>
      <c r="M13" s="12" t="s">
        <v>347</v>
      </c>
      <c r="N13" s="12">
        <v>1.0</v>
      </c>
      <c r="O13" s="12" t="s">
        <v>348</v>
      </c>
      <c r="P13" s="12">
        <v>1.0</v>
      </c>
      <c r="Q13" s="12" t="s">
        <v>349</v>
      </c>
      <c r="R13" s="12">
        <v>1.0</v>
      </c>
      <c r="S13" s="12" t="s">
        <v>350</v>
      </c>
      <c r="T13" s="13">
        <v>0.439</v>
      </c>
      <c r="U13" s="13">
        <v>0.187</v>
      </c>
      <c r="V13" s="14">
        <v>0.032</v>
      </c>
      <c r="W13" s="14">
        <v>0.104</v>
      </c>
    </row>
    <row r="14">
      <c r="A14" s="8" t="s">
        <v>351</v>
      </c>
      <c r="B14" s="8" t="s">
        <v>352</v>
      </c>
      <c r="C14" s="8" t="s">
        <v>354</v>
      </c>
      <c r="D14" s="8" t="s">
        <v>355</v>
      </c>
      <c r="E14" s="8" t="s">
        <v>356</v>
      </c>
      <c r="F14" s="8" t="s">
        <v>357</v>
      </c>
      <c r="G14" s="8" t="s">
        <v>90</v>
      </c>
      <c r="H14" s="15" t="s">
        <v>358</v>
      </c>
      <c r="I14" s="15" t="s">
        <v>359</v>
      </c>
      <c r="J14" s="11" t="s">
        <v>69</v>
      </c>
      <c r="K14" s="11" t="s">
        <v>139</v>
      </c>
      <c r="L14" s="12">
        <v>1.0</v>
      </c>
      <c r="M14" s="12" t="s">
        <v>361</v>
      </c>
      <c r="N14" s="12">
        <v>1.0</v>
      </c>
      <c r="O14" s="12" t="s">
        <v>362</v>
      </c>
      <c r="P14" s="12">
        <v>1.0</v>
      </c>
      <c r="Q14" s="12" t="s">
        <v>363</v>
      </c>
      <c r="R14" s="12">
        <v>1.0</v>
      </c>
      <c r="S14" s="12" t="s">
        <v>364</v>
      </c>
      <c r="T14" s="14">
        <v>0.468</v>
      </c>
      <c r="U14" s="14">
        <v>0.249</v>
      </c>
      <c r="V14" s="14">
        <v>0.01</v>
      </c>
      <c r="W14" s="14">
        <v>0.135</v>
      </c>
    </row>
    <row r="15">
      <c r="A15" s="8" t="s">
        <v>174</v>
      </c>
      <c r="B15" s="8" t="s">
        <v>365</v>
      </c>
      <c r="C15" s="8" t="s">
        <v>366</v>
      </c>
      <c r="D15" s="8" t="s">
        <v>367</v>
      </c>
      <c r="E15" s="8" t="s">
        <v>368</v>
      </c>
      <c r="F15" s="8" t="s">
        <v>369</v>
      </c>
      <c r="G15" s="8" t="s">
        <v>38</v>
      </c>
      <c r="H15" s="9" t="s">
        <v>370</v>
      </c>
      <c r="I15" s="9" t="s">
        <v>371</v>
      </c>
      <c r="J15" s="11" t="s">
        <v>45</v>
      </c>
      <c r="K15" s="11" t="s">
        <v>139</v>
      </c>
      <c r="L15" s="12">
        <v>1.0</v>
      </c>
      <c r="M15" s="12" t="s">
        <v>274</v>
      </c>
      <c r="N15" s="12">
        <v>2.0</v>
      </c>
      <c r="O15" s="12" t="s">
        <v>372</v>
      </c>
      <c r="P15" s="12">
        <v>2.0</v>
      </c>
      <c r="Q15" s="12" t="s">
        <v>374</v>
      </c>
      <c r="R15" s="12">
        <v>3.0</v>
      </c>
      <c r="S15" s="12" t="s">
        <v>375</v>
      </c>
      <c r="T15" s="14">
        <v>0.458</v>
      </c>
      <c r="U15" s="14">
        <v>0.136</v>
      </c>
      <c r="V15" s="14">
        <v>0.0</v>
      </c>
      <c r="W15" s="14">
        <v>0.119</v>
      </c>
    </row>
    <row r="16">
      <c r="A16" s="8" t="s">
        <v>377</v>
      </c>
      <c r="B16" s="8" t="s">
        <v>378</v>
      </c>
      <c r="C16" s="8" t="s">
        <v>379</v>
      </c>
      <c r="D16" s="8" t="s">
        <v>380</v>
      </c>
      <c r="E16" s="8" t="s">
        <v>381</v>
      </c>
      <c r="F16" s="8" t="s">
        <v>382</v>
      </c>
      <c r="G16" s="8" t="s">
        <v>38</v>
      </c>
      <c r="H16" s="15" t="s">
        <v>383</v>
      </c>
      <c r="I16" s="15" t="s">
        <v>384</v>
      </c>
      <c r="J16" s="11" t="s">
        <v>45</v>
      </c>
      <c r="K16" s="11" t="s">
        <v>139</v>
      </c>
      <c r="L16" s="12">
        <v>1.0</v>
      </c>
      <c r="M16" s="12" t="s">
        <v>385</v>
      </c>
      <c r="N16" s="12">
        <v>3.0</v>
      </c>
      <c r="O16" s="12" t="s">
        <v>386</v>
      </c>
      <c r="P16" s="12">
        <v>3.0</v>
      </c>
      <c r="Q16" s="12" t="s">
        <v>277</v>
      </c>
      <c r="R16" s="12">
        <v>2.0</v>
      </c>
      <c r="S16" s="12" t="s">
        <v>387</v>
      </c>
      <c r="T16" s="14">
        <v>0.516</v>
      </c>
      <c r="U16" s="14">
        <v>0.26</v>
      </c>
      <c r="V16" s="14">
        <v>0.083</v>
      </c>
      <c r="W16" s="14">
        <v>0.211</v>
      </c>
    </row>
    <row r="17">
      <c r="A17" s="17" t="s">
        <v>337</v>
      </c>
      <c r="L17" s="10"/>
      <c r="M17" s="10" t="s">
        <v>341</v>
      </c>
      <c r="T17" s="13">
        <f t="shared" ref="T17:W17" si="1">AVERAGE(T2:T16)</f>
        <v>0.5155333333</v>
      </c>
      <c r="U17" s="13">
        <f t="shared" si="1"/>
        <v>0.2754</v>
      </c>
      <c r="V17" s="13">
        <f t="shared" si="1"/>
        <v>0.0508</v>
      </c>
      <c r="W17" s="13">
        <f t="shared" si="1"/>
        <v>0.1691333333</v>
      </c>
    </row>
    <row r="18">
      <c r="A18" s="17" t="s">
        <v>353</v>
      </c>
      <c r="T18" s="13">
        <f t="shared" ref="T18:W18" si="2">MAX(T2:T16)</f>
        <v>0.619</v>
      </c>
      <c r="U18" s="13">
        <f t="shared" si="2"/>
        <v>0.398</v>
      </c>
      <c r="V18" s="13">
        <f t="shared" si="2"/>
        <v>0.144</v>
      </c>
      <c r="W18" s="13">
        <f t="shared" si="2"/>
        <v>0.257</v>
      </c>
    </row>
    <row r="19">
      <c r="A19" s="17" t="s">
        <v>360</v>
      </c>
      <c r="T19" s="13">
        <f t="shared" ref="T19:W19" si="3">MIN(T2:T16)</f>
        <v>0.439</v>
      </c>
      <c r="U19" s="13">
        <f t="shared" si="3"/>
        <v>0.136</v>
      </c>
      <c r="V19" s="13">
        <f t="shared" si="3"/>
        <v>0</v>
      </c>
      <c r="W19" s="13">
        <f t="shared" si="3"/>
        <v>0.104</v>
      </c>
    </row>
    <row r="20">
      <c r="T20" s="17"/>
      <c r="U20" s="17"/>
      <c r="V20" s="17"/>
      <c r="W20" s="17"/>
    </row>
    <row r="21">
      <c r="T21" s="17"/>
      <c r="U21" s="17"/>
      <c r="V21" s="17"/>
      <c r="W21" s="17"/>
    </row>
    <row r="22">
      <c r="T22" s="17"/>
      <c r="U22" s="17"/>
      <c r="V22" s="17"/>
      <c r="W22" s="17"/>
    </row>
    <row r="23">
      <c r="T23" s="17"/>
      <c r="U23" s="17"/>
      <c r="V23" s="17"/>
      <c r="W23" s="17"/>
    </row>
    <row r="24">
      <c r="T24" s="17"/>
      <c r="U24" s="17"/>
      <c r="V24" s="17"/>
      <c r="W24" s="17"/>
    </row>
    <row r="25">
      <c r="T25" s="18" t="s">
        <v>392</v>
      </c>
      <c r="U25" s="19"/>
      <c r="V25" s="17"/>
      <c r="W25" s="17"/>
    </row>
    <row r="26">
      <c r="T26" s="18" t="s">
        <v>393</v>
      </c>
      <c r="U26" s="20">
        <f>Average(T$2:T$16)</f>
        <v>0.5155333333</v>
      </c>
      <c r="V26" s="17"/>
      <c r="W26" s="17"/>
    </row>
    <row r="27">
      <c r="T27" s="18" t="s">
        <v>395</v>
      </c>
      <c r="U27" s="20">
        <f>Average(U$2:U$16)</f>
        <v>0.2754</v>
      </c>
      <c r="V27" s="17"/>
      <c r="W27" s="17"/>
    </row>
    <row r="28">
      <c r="T28" s="18" t="s">
        <v>396</v>
      </c>
      <c r="U28" s="20">
        <f>Average(V$2:V$16)</f>
        <v>0.0508</v>
      </c>
      <c r="V28" s="17"/>
      <c r="W28" s="17"/>
    </row>
    <row r="29">
      <c r="T29" s="18" t="s">
        <v>397</v>
      </c>
      <c r="U29" s="20">
        <f>Average(W$2:W$16)</f>
        <v>0.1691333333</v>
      </c>
      <c r="V29" s="17"/>
      <c r="W29" s="17"/>
    </row>
    <row r="30">
      <c r="T30" s="17"/>
      <c r="U30" s="17"/>
      <c r="V30" s="17"/>
      <c r="W30" s="17"/>
    </row>
    <row r="31">
      <c r="T31" s="17"/>
      <c r="U31" s="17"/>
      <c r="V31" s="17"/>
      <c r="W31" s="17"/>
    </row>
    <row r="32">
      <c r="T32" s="5" t="s">
        <v>398</v>
      </c>
      <c r="U32" s="17"/>
      <c r="V32" s="17"/>
      <c r="W32" s="17"/>
    </row>
    <row r="33">
      <c r="T33" s="5" t="s">
        <v>399</v>
      </c>
      <c r="U33" s="17"/>
      <c r="V33" s="17"/>
      <c r="W33" s="17"/>
    </row>
    <row r="34">
      <c r="T34" s="5" t="s">
        <v>400</v>
      </c>
      <c r="U34" s="21">
        <f>Sum(AI$2:AI$16, AK$2:AK$16, AM$2:AM$16, AO$2:AO$16)</f>
        <v>0</v>
      </c>
      <c r="V34" s="17"/>
      <c r="W34" s="17"/>
    </row>
    <row r="35">
      <c r="T35" s="5" t="s">
        <v>401</v>
      </c>
      <c r="U35" s="21">
        <f>15*4</f>
        <v>60</v>
      </c>
      <c r="V35" s="17"/>
      <c r="W35" s="17"/>
    </row>
    <row r="36">
      <c r="T36" s="5" t="s">
        <v>398</v>
      </c>
      <c r="U36" s="21">
        <f>U34/U35</f>
        <v>0</v>
      </c>
      <c r="V36" s="17"/>
      <c r="W36" s="17"/>
    </row>
    <row r="37">
      <c r="T37" s="17"/>
      <c r="U37" s="17"/>
      <c r="V37" s="17"/>
      <c r="W37" s="17"/>
    </row>
    <row r="38">
      <c r="T38" s="17"/>
      <c r="U38" s="17"/>
      <c r="V38" s="17"/>
      <c r="W38" s="17"/>
    </row>
    <row r="39">
      <c r="T39" s="17"/>
      <c r="U39" s="17"/>
      <c r="V39" s="17"/>
      <c r="W39" s="17"/>
    </row>
    <row r="40">
      <c r="T40" s="17"/>
      <c r="U40" s="17"/>
      <c r="V40" s="17"/>
      <c r="W40" s="17"/>
    </row>
    <row r="41">
      <c r="T41" s="17"/>
      <c r="U41" s="17"/>
      <c r="V41" s="17"/>
      <c r="W41" s="17"/>
    </row>
    <row r="42">
      <c r="T42" s="17"/>
      <c r="U42" s="17"/>
      <c r="V42" s="17"/>
      <c r="W42" s="17"/>
    </row>
    <row r="43">
      <c r="T43" s="17"/>
      <c r="U43" s="17"/>
      <c r="V43" s="17"/>
      <c r="W43" s="17"/>
    </row>
    <row r="44">
      <c r="T44" s="17"/>
      <c r="U44" s="17"/>
      <c r="V44" s="17"/>
      <c r="W44" s="17"/>
    </row>
    <row r="45">
      <c r="T45" s="17"/>
      <c r="U45" s="17"/>
      <c r="V45" s="17"/>
      <c r="W45" s="17"/>
    </row>
    <row r="46">
      <c r="T46" s="17"/>
      <c r="U46" s="17"/>
      <c r="V46" s="17"/>
      <c r="W46" s="17"/>
    </row>
    <row r="47">
      <c r="T47" s="17"/>
      <c r="U47" s="17"/>
      <c r="V47" s="17"/>
      <c r="W47" s="17"/>
    </row>
    <row r="48">
      <c r="T48" s="17"/>
      <c r="U48" s="17"/>
      <c r="V48" s="17"/>
      <c r="W48" s="17"/>
    </row>
    <row r="49">
      <c r="T49" s="17"/>
      <c r="U49" s="17"/>
      <c r="V49" s="17"/>
      <c r="W49" s="17"/>
    </row>
    <row r="50">
      <c r="T50" s="17"/>
      <c r="U50" s="17"/>
      <c r="V50" s="17"/>
      <c r="W50" s="17"/>
    </row>
    <row r="51">
      <c r="T51" s="17"/>
      <c r="U51" s="17"/>
      <c r="V51" s="17"/>
      <c r="W51" s="17"/>
    </row>
    <row r="52">
      <c r="T52" s="17"/>
      <c r="U52" s="17"/>
      <c r="V52" s="17"/>
      <c r="W52" s="17"/>
    </row>
    <row r="53">
      <c r="T53" s="17"/>
      <c r="U53" s="17"/>
      <c r="V53" s="17"/>
      <c r="W53" s="17"/>
    </row>
    <row r="54">
      <c r="T54" s="17"/>
      <c r="U54" s="17"/>
      <c r="V54" s="17"/>
      <c r="W54" s="17"/>
    </row>
    <row r="55">
      <c r="T55" s="17"/>
      <c r="U55" s="17"/>
      <c r="V55" s="17"/>
      <c r="W55" s="17"/>
    </row>
    <row r="56">
      <c r="T56" s="17"/>
      <c r="U56" s="17"/>
      <c r="V56" s="17"/>
      <c r="W56" s="17"/>
    </row>
    <row r="57">
      <c r="T57" s="17"/>
      <c r="U57" s="17"/>
      <c r="V57" s="17"/>
      <c r="W57" s="17"/>
    </row>
    <row r="58">
      <c r="T58" s="17"/>
      <c r="U58" s="17"/>
      <c r="V58" s="17"/>
      <c r="W58" s="17"/>
    </row>
    <row r="59">
      <c r="T59" s="17"/>
      <c r="U59" s="17"/>
      <c r="V59" s="17"/>
      <c r="W59" s="17"/>
    </row>
    <row r="60">
      <c r="T60" s="17"/>
      <c r="U60" s="17"/>
      <c r="V60" s="17"/>
      <c r="W60" s="17"/>
    </row>
    <row r="61">
      <c r="T61" s="17"/>
      <c r="U61" s="17"/>
      <c r="V61" s="17"/>
      <c r="W61" s="17"/>
    </row>
    <row r="62">
      <c r="T62" s="17"/>
      <c r="U62" s="17"/>
      <c r="V62" s="17"/>
      <c r="W62" s="17"/>
    </row>
    <row r="63">
      <c r="T63" s="17"/>
      <c r="U63" s="17"/>
      <c r="V63" s="17"/>
      <c r="W63" s="17"/>
    </row>
    <row r="64">
      <c r="T64" s="17"/>
      <c r="U64" s="17"/>
      <c r="V64" s="17"/>
      <c r="W64" s="17"/>
    </row>
    <row r="65">
      <c r="T65" s="17"/>
      <c r="U65" s="17"/>
      <c r="V65" s="17"/>
      <c r="W65" s="17"/>
    </row>
    <row r="66">
      <c r="T66" s="17"/>
      <c r="U66" s="17"/>
      <c r="V66" s="17"/>
      <c r="W66" s="17"/>
    </row>
    <row r="67">
      <c r="T67" s="17"/>
      <c r="U67" s="17"/>
      <c r="V67" s="17"/>
      <c r="W67" s="17"/>
    </row>
    <row r="68">
      <c r="T68" s="17"/>
      <c r="U68" s="17"/>
      <c r="V68" s="17"/>
      <c r="W68" s="17"/>
    </row>
    <row r="69">
      <c r="T69" s="17"/>
      <c r="U69" s="17"/>
      <c r="V69" s="17"/>
      <c r="W69" s="17"/>
    </row>
    <row r="70">
      <c r="T70" s="17"/>
      <c r="U70" s="17"/>
      <c r="V70" s="17"/>
      <c r="W70" s="17"/>
    </row>
    <row r="71">
      <c r="T71" s="17"/>
      <c r="U71" s="17"/>
      <c r="V71" s="17"/>
      <c r="W71" s="17"/>
    </row>
    <row r="72">
      <c r="T72" s="17"/>
      <c r="U72" s="17"/>
      <c r="V72" s="17"/>
      <c r="W72" s="17"/>
    </row>
    <row r="73">
      <c r="T73" s="17"/>
      <c r="U73" s="17"/>
      <c r="V73" s="17"/>
      <c r="W73" s="17"/>
    </row>
    <row r="74">
      <c r="T74" s="17"/>
      <c r="U74" s="17"/>
      <c r="V74" s="17"/>
      <c r="W74" s="17"/>
    </row>
    <row r="75">
      <c r="T75" s="17"/>
      <c r="U75" s="17"/>
      <c r="V75" s="17"/>
      <c r="W75" s="17"/>
    </row>
    <row r="76">
      <c r="T76" s="17"/>
      <c r="U76" s="17"/>
      <c r="V76" s="17"/>
      <c r="W76" s="17"/>
    </row>
    <row r="77">
      <c r="T77" s="17"/>
      <c r="U77" s="17"/>
      <c r="V77" s="17"/>
      <c r="W77" s="17"/>
    </row>
    <row r="78">
      <c r="T78" s="17"/>
      <c r="U78" s="17"/>
      <c r="V78" s="17"/>
      <c r="W78" s="17"/>
    </row>
    <row r="79">
      <c r="T79" s="17"/>
      <c r="U79" s="17"/>
      <c r="V79" s="17"/>
      <c r="W79" s="17"/>
    </row>
    <row r="80">
      <c r="T80" s="17"/>
      <c r="U80" s="17"/>
      <c r="V80" s="17"/>
      <c r="W80" s="17"/>
    </row>
    <row r="81">
      <c r="T81" s="17"/>
      <c r="U81" s="17"/>
      <c r="V81" s="17"/>
      <c r="W81" s="17"/>
    </row>
    <row r="82">
      <c r="T82" s="17"/>
      <c r="U82" s="17"/>
      <c r="V82" s="17"/>
      <c r="W82" s="17"/>
    </row>
    <row r="83">
      <c r="T83" s="17"/>
      <c r="U83" s="17"/>
      <c r="V83" s="17"/>
      <c r="W83" s="17"/>
    </row>
    <row r="84">
      <c r="T84" s="17"/>
      <c r="U84" s="17"/>
      <c r="V84" s="17"/>
      <c r="W84" s="17"/>
    </row>
    <row r="85">
      <c r="T85" s="17"/>
      <c r="U85" s="17"/>
      <c r="V85" s="17"/>
      <c r="W85" s="17"/>
    </row>
    <row r="86">
      <c r="T86" s="17"/>
      <c r="U86" s="17"/>
      <c r="V86" s="17"/>
      <c r="W86" s="17"/>
    </row>
    <row r="87">
      <c r="T87" s="17"/>
      <c r="U87" s="17"/>
      <c r="V87" s="17"/>
      <c r="W87" s="17"/>
    </row>
    <row r="88">
      <c r="T88" s="17"/>
      <c r="U88" s="17"/>
      <c r="V88" s="17"/>
      <c r="W88" s="17"/>
    </row>
    <row r="89">
      <c r="T89" s="17"/>
      <c r="U89" s="17"/>
      <c r="V89" s="17"/>
      <c r="W89" s="17"/>
    </row>
    <row r="90">
      <c r="T90" s="17"/>
      <c r="U90" s="17"/>
      <c r="V90" s="17"/>
      <c r="W90" s="17"/>
    </row>
    <row r="91">
      <c r="T91" s="17"/>
      <c r="U91" s="17"/>
      <c r="V91" s="17"/>
      <c r="W91" s="17"/>
    </row>
    <row r="92">
      <c r="T92" s="17"/>
      <c r="U92" s="17"/>
      <c r="V92" s="17"/>
      <c r="W92" s="17"/>
    </row>
    <row r="93">
      <c r="T93" s="17"/>
      <c r="U93" s="17"/>
      <c r="V93" s="17"/>
      <c r="W93" s="17"/>
    </row>
    <row r="94">
      <c r="T94" s="17"/>
      <c r="U94" s="17"/>
      <c r="V94" s="17"/>
      <c r="W94" s="17"/>
    </row>
    <row r="95">
      <c r="T95" s="17"/>
      <c r="U95" s="17"/>
      <c r="V95" s="17"/>
      <c r="W95" s="17"/>
    </row>
    <row r="96">
      <c r="T96" s="17"/>
      <c r="U96" s="17"/>
      <c r="V96" s="17"/>
      <c r="W96" s="17"/>
    </row>
    <row r="97">
      <c r="T97" s="17"/>
      <c r="U97" s="17"/>
      <c r="V97" s="17"/>
      <c r="W97" s="17"/>
    </row>
    <row r="98">
      <c r="T98" s="17"/>
      <c r="U98" s="17"/>
      <c r="V98" s="17"/>
      <c r="W98" s="17"/>
    </row>
    <row r="99">
      <c r="T99" s="17"/>
      <c r="U99" s="17"/>
      <c r="V99" s="17"/>
      <c r="W99" s="17"/>
    </row>
    <row r="100">
      <c r="T100" s="17"/>
      <c r="U100" s="17"/>
      <c r="V100" s="17"/>
      <c r="W100" s="17"/>
    </row>
    <row r="101">
      <c r="T101" s="17"/>
      <c r="U101" s="17"/>
      <c r="V101" s="17"/>
      <c r="W101" s="17"/>
    </row>
    <row r="102">
      <c r="T102" s="17"/>
      <c r="U102" s="17"/>
      <c r="V102" s="17"/>
      <c r="W102" s="17"/>
    </row>
    <row r="103">
      <c r="T103" s="17"/>
      <c r="U103" s="17"/>
      <c r="V103" s="17"/>
      <c r="W103" s="17"/>
    </row>
    <row r="104">
      <c r="T104" s="17"/>
      <c r="U104" s="17"/>
      <c r="V104" s="17"/>
      <c r="W104" s="17"/>
    </row>
    <row r="105">
      <c r="T105" s="17"/>
      <c r="U105" s="17"/>
      <c r="V105" s="17"/>
      <c r="W105" s="17"/>
    </row>
    <row r="106">
      <c r="T106" s="17"/>
      <c r="U106" s="17"/>
      <c r="V106" s="17"/>
      <c r="W106" s="17"/>
    </row>
    <row r="107">
      <c r="T107" s="17"/>
      <c r="U107" s="17"/>
      <c r="V107" s="17"/>
      <c r="W107" s="17"/>
    </row>
    <row r="108">
      <c r="T108" s="17"/>
      <c r="U108" s="17"/>
      <c r="V108" s="17"/>
      <c r="W108" s="17"/>
    </row>
    <row r="109">
      <c r="T109" s="17"/>
      <c r="U109" s="17"/>
      <c r="V109" s="17"/>
      <c r="W109" s="17"/>
    </row>
    <row r="110">
      <c r="T110" s="17"/>
      <c r="U110" s="17"/>
      <c r="V110" s="17"/>
      <c r="W110" s="17"/>
    </row>
    <row r="111">
      <c r="T111" s="17"/>
      <c r="U111" s="17"/>
      <c r="V111" s="17"/>
      <c r="W111" s="17"/>
    </row>
    <row r="112">
      <c r="T112" s="17"/>
      <c r="U112" s="17"/>
      <c r="V112" s="17"/>
      <c r="W112" s="17"/>
    </row>
    <row r="113">
      <c r="T113" s="17"/>
      <c r="U113" s="17"/>
      <c r="V113" s="17"/>
      <c r="W113" s="17"/>
    </row>
    <row r="114">
      <c r="T114" s="17"/>
      <c r="U114" s="17"/>
      <c r="V114" s="17"/>
      <c r="W114" s="17"/>
    </row>
    <row r="115">
      <c r="T115" s="17"/>
      <c r="U115" s="17"/>
      <c r="V115" s="17"/>
      <c r="W115" s="17"/>
    </row>
    <row r="116">
      <c r="T116" s="17"/>
      <c r="U116" s="17"/>
      <c r="V116" s="17"/>
      <c r="W116" s="17"/>
    </row>
    <row r="117">
      <c r="T117" s="17"/>
      <c r="U117" s="17"/>
      <c r="V117" s="17"/>
      <c r="W117" s="17"/>
    </row>
    <row r="118">
      <c r="T118" s="17"/>
      <c r="U118" s="17"/>
      <c r="V118" s="17"/>
      <c r="W118" s="17"/>
    </row>
    <row r="119">
      <c r="T119" s="17"/>
      <c r="U119" s="17"/>
      <c r="V119" s="17"/>
      <c r="W119" s="17"/>
    </row>
    <row r="120">
      <c r="T120" s="17"/>
      <c r="U120" s="17"/>
      <c r="V120" s="17"/>
      <c r="W120" s="17"/>
    </row>
    <row r="121">
      <c r="T121" s="17"/>
      <c r="U121" s="17"/>
      <c r="V121" s="17"/>
      <c r="W121" s="17"/>
    </row>
    <row r="122">
      <c r="T122" s="17"/>
      <c r="U122" s="17"/>
      <c r="V122" s="17"/>
      <c r="W122" s="17"/>
    </row>
    <row r="123">
      <c r="T123" s="17"/>
      <c r="U123" s="17"/>
      <c r="V123" s="17"/>
      <c r="W123" s="17"/>
    </row>
    <row r="124">
      <c r="T124" s="17"/>
      <c r="U124" s="17"/>
      <c r="V124" s="17"/>
      <c r="W124" s="17"/>
    </row>
    <row r="125">
      <c r="T125" s="17"/>
      <c r="U125" s="17"/>
      <c r="V125" s="17"/>
      <c r="W125" s="17"/>
    </row>
    <row r="126">
      <c r="T126" s="17"/>
      <c r="U126" s="17"/>
      <c r="V126" s="17"/>
      <c r="W126" s="17"/>
    </row>
    <row r="127">
      <c r="T127" s="17"/>
      <c r="U127" s="17"/>
      <c r="V127" s="17"/>
      <c r="W127" s="17"/>
    </row>
    <row r="128">
      <c r="T128" s="17"/>
      <c r="U128" s="17"/>
      <c r="V128" s="17"/>
      <c r="W128" s="17"/>
    </row>
    <row r="129">
      <c r="T129" s="17"/>
      <c r="U129" s="17"/>
      <c r="V129" s="17"/>
      <c r="W129" s="17"/>
    </row>
    <row r="130">
      <c r="T130" s="17"/>
      <c r="U130" s="17"/>
      <c r="V130" s="17"/>
      <c r="W130" s="17"/>
    </row>
    <row r="131">
      <c r="T131" s="17"/>
      <c r="U131" s="17"/>
      <c r="V131" s="17"/>
      <c r="W131" s="17"/>
    </row>
    <row r="132">
      <c r="T132" s="17"/>
      <c r="U132" s="17"/>
      <c r="V132" s="17"/>
      <c r="W132" s="17"/>
    </row>
    <row r="133">
      <c r="T133" s="17"/>
      <c r="U133" s="17"/>
      <c r="V133" s="17"/>
      <c r="W133" s="17"/>
    </row>
    <row r="134">
      <c r="T134" s="17"/>
      <c r="U134" s="17"/>
      <c r="V134" s="17"/>
      <c r="W134" s="17"/>
    </row>
    <row r="135">
      <c r="T135" s="17"/>
      <c r="U135" s="17"/>
      <c r="V135" s="17"/>
      <c r="W135" s="17"/>
    </row>
    <row r="136">
      <c r="T136" s="17"/>
      <c r="U136" s="17"/>
      <c r="V136" s="17"/>
      <c r="W136" s="17"/>
    </row>
    <row r="137">
      <c r="T137" s="17"/>
      <c r="U137" s="17"/>
      <c r="V137" s="17"/>
      <c r="W137" s="17"/>
    </row>
    <row r="138">
      <c r="T138" s="17"/>
      <c r="U138" s="17"/>
      <c r="V138" s="17"/>
      <c r="W138" s="17"/>
    </row>
    <row r="139">
      <c r="T139" s="17"/>
      <c r="U139" s="17"/>
      <c r="V139" s="17"/>
      <c r="W139" s="17"/>
    </row>
    <row r="140">
      <c r="T140" s="17"/>
      <c r="U140" s="17"/>
      <c r="V140" s="17"/>
      <c r="W140" s="17"/>
    </row>
    <row r="141">
      <c r="T141" s="17"/>
      <c r="U141" s="17"/>
      <c r="V141" s="17"/>
      <c r="W141" s="17"/>
    </row>
    <row r="142">
      <c r="T142" s="17"/>
      <c r="U142" s="17"/>
      <c r="V142" s="17"/>
      <c r="W142" s="17"/>
    </row>
    <row r="143">
      <c r="T143" s="17"/>
      <c r="U143" s="17"/>
      <c r="V143" s="17"/>
      <c r="W143" s="17"/>
    </row>
    <row r="144">
      <c r="T144" s="17"/>
      <c r="U144" s="17"/>
      <c r="V144" s="17"/>
      <c r="W144" s="17"/>
    </row>
    <row r="145">
      <c r="T145" s="17"/>
      <c r="U145" s="17"/>
      <c r="V145" s="17"/>
      <c r="W145" s="17"/>
    </row>
    <row r="146">
      <c r="T146" s="17"/>
      <c r="U146" s="17"/>
      <c r="V146" s="17"/>
      <c r="W146" s="17"/>
    </row>
    <row r="147">
      <c r="T147" s="17"/>
      <c r="U147" s="17"/>
      <c r="V147" s="17"/>
      <c r="W147" s="17"/>
    </row>
    <row r="148">
      <c r="T148" s="17"/>
      <c r="U148" s="17"/>
      <c r="V148" s="17"/>
      <c r="W148" s="17"/>
    </row>
    <row r="149">
      <c r="T149" s="17"/>
      <c r="U149" s="17"/>
      <c r="V149" s="17"/>
      <c r="W149" s="17"/>
    </row>
    <row r="150">
      <c r="T150" s="17"/>
      <c r="U150" s="17"/>
      <c r="V150" s="17"/>
      <c r="W150" s="17"/>
    </row>
    <row r="151">
      <c r="T151" s="17"/>
      <c r="U151" s="17"/>
      <c r="V151" s="17"/>
      <c r="W151" s="17"/>
    </row>
    <row r="152">
      <c r="T152" s="17"/>
      <c r="U152" s="17"/>
      <c r="V152" s="17"/>
      <c r="W152" s="17"/>
    </row>
    <row r="153">
      <c r="T153" s="17"/>
      <c r="U153" s="17"/>
      <c r="V153" s="17"/>
      <c r="W153" s="17"/>
    </row>
    <row r="154">
      <c r="T154" s="17"/>
      <c r="U154" s="17"/>
      <c r="V154" s="17"/>
      <c r="W154" s="17"/>
    </row>
    <row r="155">
      <c r="T155" s="17"/>
      <c r="U155" s="17"/>
      <c r="V155" s="17"/>
      <c r="W155" s="17"/>
    </row>
    <row r="156">
      <c r="T156" s="17"/>
      <c r="U156" s="17"/>
      <c r="V156" s="17"/>
      <c r="W156" s="17"/>
    </row>
    <row r="157">
      <c r="T157" s="17"/>
      <c r="U157" s="17"/>
      <c r="V157" s="17"/>
      <c r="W157" s="17"/>
    </row>
    <row r="158">
      <c r="T158" s="17"/>
      <c r="U158" s="17"/>
      <c r="V158" s="17"/>
      <c r="W158" s="17"/>
    </row>
    <row r="159">
      <c r="T159" s="17"/>
      <c r="U159" s="17"/>
      <c r="V159" s="17"/>
      <c r="W159" s="17"/>
    </row>
    <row r="160">
      <c r="T160" s="17"/>
      <c r="U160" s="17"/>
      <c r="V160" s="17"/>
      <c r="W160" s="17"/>
    </row>
    <row r="161">
      <c r="T161" s="17"/>
      <c r="U161" s="17"/>
      <c r="V161" s="17"/>
      <c r="W161" s="17"/>
    </row>
    <row r="162">
      <c r="T162" s="17"/>
      <c r="U162" s="17"/>
      <c r="V162" s="17"/>
      <c r="W162" s="17"/>
    </row>
    <row r="163">
      <c r="T163" s="17"/>
      <c r="U163" s="17"/>
      <c r="V163" s="17"/>
      <c r="W163" s="17"/>
    </row>
    <row r="164">
      <c r="T164" s="17"/>
      <c r="U164" s="17"/>
      <c r="V164" s="17"/>
      <c r="W164" s="17"/>
    </row>
    <row r="165">
      <c r="T165" s="17"/>
      <c r="U165" s="17"/>
      <c r="V165" s="17"/>
      <c r="W165" s="17"/>
    </row>
    <row r="166">
      <c r="T166" s="17"/>
      <c r="U166" s="17"/>
      <c r="V166" s="17"/>
      <c r="W166" s="17"/>
    </row>
    <row r="167">
      <c r="T167" s="17"/>
      <c r="U167" s="17"/>
      <c r="V167" s="17"/>
      <c r="W167" s="17"/>
    </row>
    <row r="168">
      <c r="T168" s="17"/>
      <c r="U168" s="17"/>
      <c r="V168" s="17"/>
      <c r="W168" s="17"/>
    </row>
    <row r="169">
      <c r="T169" s="17"/>
      <c r="U169" s="17"/>
      <c r="V169" s="17"/>
      <c r="W169" s="17"/>
    </row>
    <row r="170">
      <c r="T170" s="17"/>
      <c r="U170" s="17"/>
      <c r="V170" s="17"/>
      <c r="W170" s="17"/>
    </row>
    <row r="171">
      <c r="T171" s="17"/>
      <c r="U171" s="17"/>
      <c r="V171" s="17"/>
      <c r="W171" s="17"/>
    </row>
    <row r="172">
      <c r="T172" s="17"/>
      <c r="U172" s="17"/>
      <c r="V172" s="17"/>
      <c r="W172" s="17"/>
    </row>
    <row r="173">
      <c r="T173" s="17"/>
      <c r="U173" s="17"/>
      <c r="V173" s="17"/>
      <c r="W173" s="17"/>
    </row>
    <row r="174">
      <c r="T174" s="17"/>
      <c r="U174" s="17"/>
      <c r="V174" s="17"/>
      <c r="W174" s="17"/>
    </row>
    <row r="175">
      <c r="T175" s="17"/>
      <c r="U175" s="17"/>
      <c r="V175" s="17"/>
      <c r="W175" s="17"/>
    </row>
    <row r="176">
      <c r="T176" s="17"/>
      <c r="U176" s="17"/>
      <c r="V176" s="17"/>
      <c r="W176" s="17"/>
    </row>
    <row r="177">
      <c r="T177" s="17"/>
      <c r="U177" s="17"/>
      <c r="V177" s="17"/>
      <c r="W177" s="17"/>
    </row>
    <row r="178">
      <c r="T178" s="17"/>
      <c r="U178" s="17"/>
      <c r="V178" s="17"/>
      <c r="W178" s="17"/>
    </row>
    <row r="179">
      <c r="T179" s="17"/>
      <c r="U179" s="17"/>
      <c r="V179" s="17"/>
      <c r="W179" s="17"/>
    </row>
    <row r="180">
      <c r="T180" s="17"/>
      <c r="U180" s="17"/>
      <c r="V180" s="17"/>
      <c r="W180" s="17"/>
    </row>
    <row r="181">
      <c r="T181" s="17"/>
      <c r="U181" s="17"/>
      <c r="V181" s="17"/>
      <c r="W181" s="17"/>
    </row>
    <row r="182">
      <c r="T182" s="17"/>
      <c r="U182" s="17"/>
      <c r="V182" s="17"/>
      <c r="W182" s="17"/>
    </row>
    <row r="183">
      <c r="T183" s="17"/>
      <c r="U183" s="17"/>
      <c r="V183" s="17"/>
      <c r="W183" s="17"/>
    </row>
    <row r="184">
      <c r="T184" s="17"/>
      <c r="U184" s="17"/>
      <c r="V184" s="17"/>
      <c r="W184" s="17"/>
    </row>
    <row r="185">
      <c r="T185" s="17"/>
      <c r="U185" s="17"/>
      <c r="V185" s="17"/>
      <c r="W185" s="17"/>
    </row>
    <row r="186">
      <c r="T186" s="17"/>
      <c r="U186" s="17"/>
      <c r="V186" s="17"/>
      <c r="W186" s="17"/>
    </row>
    <row r="187">
      <c r="T187" s="17"/>
      <c r="U187" s="17"/>
      <c r="V187" s="17"/>
      <c r="W187" s="17"/>
    </row>
    <row r="188">
      <c r="T188" s="17"/>
      <c r="U188" s="17"/>
      <c r="V188" s="17"/>
      <c r="W188" s="17"/>
    </row>
    <row r="189">
      <c r="T189" s="17"/>
      <c r="U189" s="17"/>
      <c r="V189" s="17"/>
      <c r="W189" s="17"/>
    </row>
    <row r="190">
      <c r="T190" s="17"/>
      <c r="U190" s="17"/>
      <c r="V190" s="17"/>
      <c r="W190" s="17"/>
    </row>
    <row r="191">
      <c r="T191" s="17"/>
      <c r="U191" s="17"/>
      <c r="V191" s="17"/>
      <c r="W191" s="17"/>
    </row>
    <row r="192">
      <c r="T192" s="17"/>
      <c r="U192" s="17"/>
      <c r="V192" s="17"/>
      <c r="W192" s="17"/>
    </row>
    <row r="193">
      <c r="T193" s="17"/>
      <c r="U193" s="17"/>
      <c r="V193" s="17"/>
      <c r="W193" s="17"/>
    </row>
    <row r="194">
      <c r="T194" s="17"/>
      <c r="U194" s="17"/>
      <c r="V194" s="17"/>
      <c r="W194" s="17"/>
    </row>
    <row r="195">
      <c r="T195" s="17"/>
      <c r="U195" s="17"/>
      <c r="V195" s="17"/>
      <c r="W195" s="17"/>
    </row>
    <row r="196">
      <c r="T196" s="17"/>
      <c r="U196" s="17"/>
      <c r="V196" s="17"/>
      <c r="W196" s="17"/>
    </row>
    <row r="197">
      <c r="T197" s="17"/>
      <c r="U197" s="17"/>
      <c r="V197" s="17"/>
      <c r="W197" s="17"/>
    </row>
    <row r="198">
      <c r="T198" s="17"/>
      <c r="U198" s="17"/>
      <c r="V198" s="17"/>
      <c r="W198" s="17"/>
    </row>
    <row r="199">
      <c r="T199" s="17"/>
      <c r="U199" s="17"/>
      <c r="V199" s="17"/>
      <c r="W199" s="17"/>
    </row>
    <row r="200">
      <c r="T200" s="17"/>
      <c r="U200" s="17"/>
      <c r="V200" s="17"/>
      <c r="W200" s="17"/>
    </row>
    <row r="201">
      <c r="T201" s="17"/>
      <c r="U201" s="17"/>
      <c r="V201" s="17"/>
      <c r="W201" s="17"/>
    </row>
    <row r="202">
      <c r="T202" s="17"/>
      <c r="U202" s="17"/>
      <c r="V202" s="17"/>
      <c r="W202" s="17"/>
    </row>
    <row r="203">
      <c r="T203" s="17"/>
      <c r="U203" s="17"/>
      <c r="V203" s="17"/>
      <c r="W203" s="17"/>
    </row>
    <row r="204">
      <c r="T204" s="17"/>
      <c r="U204" s="17"/>
      <c r="V204" s="17"/>
      <c r="W204" s="17"/>
    </row>
    <row r="205">
      <c r="T205" s="17"/>
      <c r="U205" s="17"/>
      <c r="V205" s="17"/>
      <c r="W205" s="17"/>
    </row>
    <row r="206">
      <c r="T206" s="17"/>
      <c r="U206" s="17"/>
      <c r="V206" s="17"/>
      <c r="W206" s="17"/>
    </row>
    <row r="207">
      <c r="T207" s="17"/>
      <c r="U207" s="17"/>
      <c r="V207" s="17"/>
      <c r="W207" s="17"/>
    </row>
    <row r="208">
      <c r="T208" s="17"/>
      <c r="U208" s="17"/>
      <c r="V208" s="17"/>
      <c r="W208" s="17"/>
    </row>
    <row r="209">
      <c r="T209" s="17"/>
      <c r="U209" s="17"/>
      <c r="V209" s="17"/>
      <c r="W209" s="17"/>
    </row>
    <row r="210">
      <c r="T210" s="17"/>
      <c r="U210" s="17"/>
      <c r="V210" s="17"/>
      <c r="W210" s="17"/>
    </row>
    <row r="211">
      <c r="T211" s="17"/>
      <c r="U211" s="17"/>
      <c r="V211" s="17"/>
      <c r="W211" s="17"/>
    </row>
    <row r="212">
      <c r="T212" s="17"/>
      <c r="U212" s="17"/>
      <c r="V212" s="17"/>
      <c r="W212" s="17"/>
    </row>
    <row r="213">
      <c r="T213" s="17"/>
      <c r="U213" s="17"/>
      <c r="V213" s="17"/>
      <c r="W213" s="17"/>
    </row>
    <row r="214">
      <c r="T214" s="17"/>
      <c r="U214" s="17"/>
      <c r="V214" s="17"/>
      <c r="W214" s="17"/>
    </row>
    <row r="215">
      <c r="T215" s="17"/>
      <c r="U215" s="17"/>
      <c r="V215" s="17"/>
      <c r="W215" s="17"/>
    </row>
    <row r="216">
      <c r="T216" s="17"/>
      <c r="U216" s="17"/>
      <c r="V216" s="17"/>
      <c r="W216" s="17"/>
    </row>
    <row r="217">
      <c r="T217" s="17"/>
      <c r="U217" s="17"/>
      <c r="V217" s="17"/>
      <c r="W217" s="17"/>
    </row>
    <row r="218">
      <c r="T218" s="17"/>
      <c r="U218" s="17"/>
      <c r="V218" s="17"/>
      <c r="W218" s="17"/>
    </row>
    <row r="219">
      <c r="T219" s="17"/>
      <c r="U219" s="17"/>
      <c r="V219" s="17"/>
      <c r="W219" s="17"/>
    </row>
    <row r="220">
      <c r="T220" s="17"/>
      <c r="U220" s="17"/>
      <c r="V220" s="17"/>
      <c r="W220" s="17"/>
    </row>
    <row r="221">
      <c r="T221" s="17"/>
      <c r="U221" s="17"/>
      <c r="V221" s="17"/>
      <c r="W221" s="17"/>
    </row>
    <row r="222">
      <c r="T222" s="17"/>
      <c r="U222" s="17"/>
      <c r="V222" s="17"/>
      <c r="W222" s="17"/>
    </row>
    <row r="223">
      <c r="T223" s="17"/>
      <c r="U223" s="17"/>
      <c r="V223" s="17"/>
      <c r="W223" s="17"/>
    </row>
    <row r="224">
      <c r="T224" s="17"/>
      <c r="U224" s="17"/>
      <c r="V224" s="17"/>
      <c r="W224" s="17"/>
    </row>
    <row r="225">
      <c r="T225" s="17"/>
      <c r="U225" s="17"/>
      <c r="V225" s="17"/>
      <c r="W225" s="17"/>
    </row>
    <row r="226">
      <c r="T226" s="17"/>
      <c r="U226" s="17"/>
      <c r="V226" s="17"/>
      <c r="W226" s="17"/>
    </row>
    <row r="227">
      <c r="T227" s="17"/>
      <c r="U227" s="17"/>
      <c r="V227" s="17"/>
      <c r="W227" s="17"/>
    </row>
    <row r="228">
      <c r="T228" s="17"/>
      <c r="U228" s="17"/>
      <c r="V228" s="17"/>
      <c r="W228" s="17"/>
    </row>
    <row r="229">
      <c r="T229" s="17"/>
      <c r="U229" s="17"/>
      <c r="V229" s="17"/>
      <c r="W229" s="17"/>
    </row>
    <row r="230">
      <c r="T230" s="17"/>
      <c r="U230" s="17"/>
      <c r="V230" s="17"/>
      <c r="W230" s="17"/>
    </row>
    <row r="231">
      <c r="T231" s="17"/>
      <c r="U231" s="17"/>
      <c r="V231" s="17"/>
      <c r="W231" s="17"/>
    </row>
    <row r="232">
      <c r="T232" s="17"/>
      <c r="U232" s="17"/>
      <c r="V232" s="17"/>
      <c r="W232" s="17"/>
    </row>
    <row r="233">
      <c r="T233" s="17"/>
      <c r="U233" s="17"/>
      <c r="V233" s="17"/>
      <c r="W233" s="17"/>
    </row>
    <row r="234">
      <c r="T234" s="17"/>
      <c r="U234" s="17"/>
      <c r="V234" s="17"/>
      <c r="W234" s="17"/>
    </row>
    <row r="235">
      <c r="T235" s="17"/>
      <c r="U235" s="17"/>
      <c r="V235" s="17"/>
      <c r="W235" s="17"/>
    </row>
    <row r="236">
      <c r="T236" s="17"/>
      <c r="U236" s="17"/>
      <c r="V236" s="17"/>
      <c r="W236" s="17"/>
    </row>
    <row r="237">
      <c r="T237" s="17"/>
      <c r="U237" s="17"/>
      <c r="V237" s="17"/>
      <c r="W237" s="17"/>
    </row>
    <row r="238">
      <c r="T238" s="17"/>
      <c r="U238" s="17"/>
      <c r="V238" s="17"/>
      <c r="W238" s="17"/>
    </row>
    <row r="239">
      <c r="T239" s="17"/>
      <c r="U239" s="17"/>
      <c r="V239" s="17"/>
      <c r="W239" s="17"/>
    </row>
    <row r="240">
      <c r="T240" s="17"/>
      <c r="U240" s="17"/>
      <c r="V240" s="17"/>
      <c r="W240" s="17"/>
    </row>
    <row r="241">
      <c r="T241" s="17"/>
      <c r="U241" s="17"/>
      <c r="V241" s="17"/>
      <c r="W241" s="17"/>
    </row>
    <row r="242">
      <c r="T242" s="17"/>
      <c r="U242" s="17"/>
      <c r="V242" s="17"/>
      <c r="W242" s="17"/>
    </row>
    <row r="243">
      <c r="T243" s="17"/>
      <c r="U243" s="17"/>
      <c r="V243" s="17"/>
      <c r="W243" s="17"/>
    </row>
    <row r="244">
      <c r="T244" s="17"/>
      <c r="U244" s="17"/>
      <c r="V244" s="17"/>
      <c r="W244" s="17"/>
    </row>
    <row r="245">
      <c r="T245" s="17"/>
      <c r="U245" s="17"/>
      <c r="V245" s="17"/>
      <c r="W245" s="17"/>
    </row>
    <row r="246">
      <c r="T246" s="17"/>
      <c r="U246" s="17"/>
      <c r="V246" s="17"/>
      <c r="W246" s="17"/>
    </row>
    <row r="247">
      <c r="T247" s="17"/>
      <c r="U247" s="17"/>
      <c r="V247" s="17"/>
      <c r="W247" s="17"/>
    </row>
    <row r="248">
      <c r="T248" s="17"/>
      <c r="U248" s="17"/>
      <c r="V248" s="17"/>
      <c r="W248" s="17"/>
    </row>
    <row r="249">
      <c r="T249" s="17"/>
      <c r="U249" s="17"/>
      <c r="V249" s="17"/>
      <c r="W249" s="17"/>
    </row>
    <row r="250">
      <c r="T250" s="17"/>
      <c r="U250" s="17"/>
      <c r="V250" s="17"/>
      <c r="W250" s="17"/>
    </row>
    <row r="251">
      <c r="T251" s="17"/>
      <c r="U251" s="17"/>
      <c r="V251" s="17"/>
      <c r="W251" s="17"/>
    </row>
    <row r="252">
      <c r="T252" s="17"/>
      <c r="U252" s="17"/>
      <c r="V252" s="17"/>
      <c r="W252" s="17"/>
    </row>
    <row r="253">
      <c r="T253" s="17"/>
      <c r="U253" s="17"/>
      <c r="V253" s="17"/>
      <c r="W253" s="17"/>
    </row>
    <row r="254">
      <c r="T254" s="17"/>
      <c r="U254" s="17"/>
      <c r="V254" s="17"/>
      <c r="W254" s="17"/>
    </row>
    <row r="255">
      <c r="T255" s="17"/>
      <c r="U255" s="17"/>
      <c r="V255" s="17"/>
      <c r="W255" s="17"/>
    </row>
    <row r="256">
      <c r="T256" s="17"/>
      <c r="U256" s="17"/>
      <c r="V256" s="17"/>
      <c r="W256" s="17"/>
    </row>
    <row r="257">
      <c r="T257" s="17"/>
      <c r="U257" s="17"/>
      <c r="V257" s="17"/>
      <c r="W257" s="17"/>
    </row>
    <row r="258">
      <c r="T258" s="17"/>
      <c r="U258" s="17"/>
      <c r="V258" s="17"/>
      <c r="W258" s="17"/>
    </row>
    <row r="259">
      <c r="T259" s="17"/>
      <c r="U259" s="17"/>
      <c r="V259" s="17"/>
      <c r="W259" s="17"/>
    </row>
    <row r="260">
      <c r="T260" s="17"/>
      <c r="U260" s="17"/>
      <c r="V260" s="17"/>
      <c r="W260" s="17"/>
    </row>
    <row r="261">
      <c r="T261" s="17"/>
      <c r="U261" s="17"/>
      <c r="V261" s="17"/>
      <c r="W261" s="17"/>
    </row>
    <row r="262">
      <c r="T262" s="17"/>
      <c r="U262" s="17"/>
      <c r="V262" s="17"/>
      <c r="W262" s="17"/>
    </row>
    <row r="263">
      <c r="T263" s="17"/>
      <c r="U263" s="17"/>
      <c r="V263" s="17"/>
      <c r="W263" s="17"/>
    </row>
    <row r="264">
      <c r="T264" s="17"/>
      <c r="U264" s="17"/>
      <c r="V264" s="17"/>
      <c r="W264" s="17"/>
    </row>
    <row r="265">
      <c r="T265" s="17"/>
      <c r="U265" s="17"/>
      <c r="V265" s="17"/>
      <c r="W265" s="17"/>
    </row>
    <row r="266">
      <c r="T266" s="17"/>
      <c r="U266" s="17"/>
      <c r="V266" s="17"/>
      <c r="W266" s="17"/>
    </row>
    <row r="267">
      <c r="T267" s="17"/>
      <c r="U267" s="17"/>
      <c r="V267" s="17"/>
      <c r="W267" s="17"/>
    </row>
    <row r="268">
      <c r="T268" s="17"/>
      <c r="U268" s="17"/>
      <c r="V268" s="17"/>
      <c r="W268" s="17"/>
    </row>
    <row r="269">
      <c r="T269" s="17"/>
      <c r="U269" s="17"/>
      <c r="V269" s="17"/>
      <c r="W269" s="17"/>
    </row>
    <row r="270">
      <c r="T270" s="17"/>
      <c r="U270" s="17"/>
      <c r="V270" s="17"/>
      <c r="W270" s="17"/>
    </row>
    <row r="271">
      <c r="T271" s="17"/>
      <c r="U271" s="17"/>
      <c r="V271" s="17"/>
      <c r="W271" s="17"/>
    </row>
    <row r="272">
      <c r="T272" s="17"/>
      <c r="U272" s="17"/>
      <c r="V272" s="17"/>
      <c r="W272" s="17"/>
    </row>
    <row r="273">
      <c r="T273" s="17"/>
      <c r="U273" s="17"/>
      <c r="V273" s="17"/>
      <c r="W273" s="17"/>
    </row>
    <row r="274">
      <c r="T274" s="17"/>
      <c r="U274" s="17"/>
      <c r="V274" s="17"/>
      <c r="W274" s="17"/>
    </row>
    <row r="275">
      <c r="T275" s="17"/>
      <c r="U275" s="17"/>
      <c r="V275" s="17"/>
      <c r="W275" s="17"/>
    </row>
    <row r="276">
      <c r="T276" s="17"/>
      <c r="U276" s="17"/>
      <c r="V276" s="17"/>
      <c r="W276" s="17"/>
    </row>
    <row r="277">
      <c r="T277" s="17"/>
      <c r="U277" s="17"/>
      <c r="V277" s="17"/>
      <c r="W277" s="17"/>
    </row>
    <row r="278">
      <c r="T278" s="17"/>
      <c r="U278" s="17"/>
      <c r="V278" s="17"/>
      <c r="W278" s="17"/>
    </row>
    <row r="279">
      <c r="T279" s="17"/>
      <c r="U279" s="17"/>
      <c r="V279" s="17"/>
      <c r="W279" s="17"/>
    </row>
    <row r="280">
      <c r="T280" s="17"/>
      <c r="U280" s="17"/>
      <c r="V280" s="17"/>
      <c r="W280" s="17"/>
    </row>
    <row r="281">
      <c r="T281" s="17"/>
      <c r="U281" s="17"/>
      <c r="V281" s="17"/>
      <c r="W281" s="17"/>
    </row>
    <row r="282">
      <c r="T282" s="17"/>
      <c r="U282" s="17"/>
      <c r="V282" s="17"/>
      <c r="W282" s="17"/>
    </row>
    <row r="283">
      <c r="T283" s="17"/>
      <c r="U283" s="17"/>
      <c r="V283" s="17"/>
      <c r="W283" s="17"/>
    </row>
    <row r="284">
      <c r="T284" s="17"/>
      <c r="U284" s="17"/>
      <c r="V284" s="17"/>
      <c r="W284" s="17"/>
    </row>
    <row r="285">
      <c r="T285" s="17"/>
      <c r="U285" s="17"/>
      <c r="V285" s="17"/>
      <c r="W285" s="17"/>
    </row>
    <row r="286">
      <c r="T286" s="17"/>
      <c r="U286" s="17"/>
      <c r="V286" s="17"/>
      <c r="W286" s="17"/>
    </row>
    <row r="287">
      <c r="T287" s="17"/>
      <c r="U287" s="17"/>
      <c r="V287" s="17"/>
      <c r="W287" s="17"/>
    </row>
    <row r="288">
      <c r="T288" s="17"/>
      <c r="U288" s="17"/>
      <c r="V288" s="17"/>
      <c r="W288" s="17"/>
    </row>
    <row r="289">
      <c r="T289" s="17"/>
      <c r="U289" s="17"/>
      <c r="V289" s="17"/>
      <c r="W289" s="17"/>
    </row>
    <row r="290">
      <c r="T290" s="17"/>
      <c r="U290" s="17"/>
      <c r="V290" s="17"/>
      <c r="W290" s="17"/>
    </row>
    <row r="291">
      <c r="T291" s="17"/>
      <c r="U291" s="17"/>
      <c r="V291" s="17"/>
      <c r="W291" s="17"/>
    </row>
    <row r="292">
      <c r="T292" s="17"/>
      <c r="U292" s="17"/>
      <c r="V292" s="17"/>
      <c r="W292" s="17"/>
    </row>
    <row r="293">
      <c r="T293" s="17"/>
      <c r="U293" s="17"/>
      <c r="V293" s="17"/>
      <c r="W293" s="17"/>
    </row>
    <row r="294">
      <c r="T294" s="17"/>
      <c r="U294" s="17"/>
      <c r="V294" s="17"/>
      <c r="W294" s="17"/>
    </row>
    <row r="295">
      <c r="T295" s="17"/>
      <c r="U295" s="17"/>
      <c r="V295" s="17"/>
      <c r="W295" s="17"/>
    </row>
    <row r="296">
      <c r="T296" s="17"/>
      <c r="U296" s="17"/>
      <c r="V296" s="17"/>
      <c r="W296" s="17"/>
    </row>
    <row r="297">
      <c r="T297" s="17"/>
      <c r="U297" s="17"/>
      <c r="V297" s="17"/>
      <c r="W297" s="17"/>
    </row>
    <row r="298">
      <c r="T298" s="17"/>
      <c r="U298" s="17"/>
      <c r="V298" s="17"/>
      <c r="W298" s="17"/>
    </row>
    <row r="299">
      <c r="T299" s="17"/>
      <c r="U299" s="17"/>
      <c r="V299" s="17"/>
      <c r="W299" s="17"/>
    </row>
    <row r="300">
      <c r="T300" s="17"/>
      <c r="U300" s="17"/>
      <c r="V300" s="17"/>
      <c r="W300" s="17"/>
    </row>
    <row r="301">
      <c r="T301" s="17"/>
      <c r="U301" s="17"/>
      <c r="V301" s="17"/>
      <c r="W301" s="17"/>
    </row>
    <row r="302">
      <c r="T302" s="17"/>
      <c r="U302" s="17"/>
      <c r="V302" s="17"/>
      <c r="W302" s="17"/>
    </row>
    <row r="303">
      <c r="T303" s="17"/>
      <c r="U303" s="17"/>
      <c r="V303" s="17"/>
      <c r="W303" s="17"/>
    </row>
    <row r="304">
      <c r="T304" s="17"/>
      <c r="U304" s="17"/>
      <c r="V304" s="17"/>
      <c r="W304" s="17"/>
    </row>
    <row r="305">
      <c r="T305" s="17"/>
      <c r="U305" s="17"/>
      <c r="V305" s="17"/>
      <c r="W305" s="17"/>
    </row>
    <row r="306">
      <c r="T306" s="17"/>
      <c r="U306" s="17"/>
      <c r="V306" s="17"/>
      <c r="W306" s="17"/>
    </row>
    <row r="307">
      <c r="T307" s="17"/>
      <c r="U307" s="17"/>
      <c r="V307" s="17"/>
      <c r="W307" s="17"/>
    </row>
    <row r="308">
      <c r="T308" s="17"/>
      <c r="U308" s="17"/>
      <c r="V308" s="17"/>
      <c r="W308" s="17"/>
    </row>
    <row r="309">
      <c r="T309" s="17"/>
      <c r="U309" s="17"/>
      <c r="V309" s="17"/>
      <c r="W309" s="17"/>
    </row>
    <row r="310">
      <c r="T310" s="17"/>
      <c r="U310" s="17"/>
      <c r="V310" s="17"/>
      <c r="W310" s="17"/>
    </row>
    <row r="311">
      <c r="T311" s="17"/>
      <c r="U311" s="17"/>
      <c r="V311" s="17"/>
      <c r="W311" s="17"/>
    </row>
    <row r="312">
      <c r="T312" s="17"/>
      <c r="U312" s="17"/>
      <c r="V312" s="17"/>
      <c r="W312" s="17"/>
    </row>
    <row r="313">
      <c r="T313" s="17"/>
      <c r="U313" s="17"/>
      <c r="V313" s="17"/>
      <c r="W313" s="17"/>
    </row>
    <row r="314">
      <c r="T314" s="17"/>
      <c r="U314" s="17"/>
      <c r="V314" s="17"/>
      <c r="W314" s="17"/>
    </row>
    <row r="315">
      <c r="T315" s="17"/>
      <c r="U315" s="17"/>
      <c r="V315" s="17"/>
      <c r="W315" s="17"/>
    </row>
    <row r="316">
      <c r="T316" s="17"/>
      <c r="U316" s="17"/>
      <c r="V316" s="17"/>
      <c r="W316" s="17"/>
    </row>
    <row r="317">
      <c r="T317" s="17"/>
      <c r="U317" s="17"/>
      <c r="V317" s="17"/>
      <c r="W317" s="17"/>
    </row>
    <row r="318">
      <c r="T318" s="17"/>
      <c r="U318" s="17"/>
      <c r="V318" s="17"/>
      <c r="W318" s="17"/>
    </row>
    <row r="319">
      <c r="T319" s="17"/>
      <c r="U319" s="17"/>
      <c r="V319" s="17"/>
      <c r="W319" s="17"/>
    </row>
    <row r="320">
      <c r="T320" s="17"/>
      <c r="U320" s="17"/>
      <c r="V320" s="17"/>
      <c r="W320" s="17"/>
    </row>
    <row r="321">
      <c r="T321" s="17"/>
      <c r="U321" s="17"/>
      <c r="V321" s="17"/>
      <c r="W321" s="17"/>
    </row>
    <row r="322">
      <c r="T322" s="17"/>
      <c r="U322" s="17"/>
      <c r="V322" s="17"/>
      <c r="W322" s="17"/>
    </row>
    <row r="323">
      <c r="T323" s="17"/>
      <c r="U323" s="17"/>
      <c r="V323" s="17"/>
      <c r="W323" s="17"/>
    </row>
    <row r="324">
      <c r="T324" s="17"/>
      <c r="U324" s="17"/>
      <c r="V324" s="17"/>
      <c r="W324" s="17"/>
    </row>
    <row r="325">
      <c r="T325" s="17"/>
      <c r="U325" s="17"/>
      <c r="V325" s="17"/>
      <c r="W325" s="17"/>
    </row>
    <row r="326">
      <c r="T326" s="17"/>
      <c r="U326" s="17"/>
      <c r="V326" s="17"/>
      <c r="W326" s="17"/>
    </row>
    <row r="327">
      <c r="T327" s="17"/>
      <c r="U327" s="17"/>
      <c r="V327" s="17"/>
      <c r="W327" s="17"/>
    </row>
    <row r="328">
      <c r="T328" s="17"/>
      <c r="U328" s="17"/>
      <c r="V328" s="17"/>
      <c r="W328" s="17"/>
    </row>
    <row r="329">
      <c r="T329" s="17"/>
      <c r="U329" s="17"/>
      <c r="V329" s="17"/>
      <c r="W329" s="17"/>
    </row>
    <row r="330">
      <c r="T330" s="17"/>
      <c r="U330" s="17"/>
      <c r="V330" s="17"/>
      <c r="W330" s="17"/>
    </row>
    <row r="331">
      <c r="T331" s="17"/>
      <c r="U331" s="17"/>
      <c r="V331" s="17"/>
      <c r="W331" s="17"/>
    </row>
    <row r="332">
      <c r="T332" s="17"/>
      <c r="U332" s="17"/>
      <c r="V332" s="17"/>
      <c r="W332" s="17"/>
    </row>
    <row r="333">
      <c r="T333" s="17"/>
      <c r="U333" s="17"/>
      <c r="V333" s="17"/>
      <c r="W333" s="17"/>
    </row>
    <row r="334">
      <c r="T334" s="17"/>
      <c r="U334" s="17"/>
      <c r="V334" s="17"/>
      <c r="W334" s="17"/>
    </row>
    <row r="335">
      <c r="T335" s="17"/>
      <c r="U335" s="17"/>
      <c r="V335" s="17"/>
      <c r="W335" s="17"/>
    </row>
    <row r="336">
      <c r="T336" s="17"/>
      <c r="U336" s="17"/>
      <c r="V336" s="17"/>
      <c r="W336" s="17"/>
    </row>
    <row r="337">
      <c r="T337" s="17"/>
      <c r="U337" s="17"/>
      <c r="V337" s="17"/>
      <c r="W337" s="17"/>
    </row>
    <row r="338">
      <c r="T338" s="17"/>
      <c r="U338" s="17"/>
      <c r="V338" s="17"/>
      <c r="W338" s="17"/>
    </row>
    <row r="339">
      <c r="T339" s="17"/>
      <c r="U339" s="17"/>
      <c r="V339" s="17"/>
      <c r="W339" s="17"/>
    </row>
    <row r="340">
      <c r="T340" s="17"/>
      <c r="U340" s="17"/>
      <c r="V340" s="17"/>
      <c r="W340" s="17"/>
    </row>
    <row r="341">
      <c r="T341" s="17"/>
      <c r="U341" s="17"/>
      <c r="V341" s="17"/>
      <c r="W341" s="17"/>
    </row>
    <row r="342">
      <c r="T342" s="17"/>
      <c r="U342" s="17"/>
      <c r="V342" s="17"/>
      <c r="W342" s="17"/>
    </row>
    <row r="343">
      <c r="T343" s="17"/>
      <c r="U343" s="17"/>
      <c r="V343" s="17"/>
      <c r="W343" s="17"/>
    </row>
    <row r="344">
      <c r="T344" s="17"/>
      <c r="U344" s="17"/>
      <c r="V344" s="17"/>
      <c r="W344" s="17"/>
    </row>
    <row r="345">
      <c r="T345" s="17"/>
      <c r="U345" s="17"/>
      <c r="V345" s="17"/>
      <c r="W345" s="17"/>
    </row>
    <row r="346">
      <c r="T346" s="17"/>
      <c r="U346" s="17"/>
      <c r="V346" s="17"/>
      <c r="W346" s="17"/>
    </row>
    <row r="347">
      <c r="T347" s="17"/>
      <c r="U347" s="17"/>
      <c r="V347" s="17"/>
      <c r="W347" s="17"/>
    </row>
    <row r="348">
      <c r="T348" s="17"/>
      <c r="U348" s="17"/>
      <c r="V348" s="17"/>
      <c r="W348" s="17"/>
    </row>
    <row r="349">
      <c r="T349" s="17"/>
      <c r="U349" s="17"/>
      <c r="V349" s="17"/>
      <c r="W349" s="17"/>
    </row>
    <row r="350">
      <c r="T350" s="17"/>
      <c r="U350" s="17"/>
      <c r="V350" s="17"/>
      <c r="W350" s="17"/>
    </row>
    <row r="351">
      <c r="T351" s="17"/>
      <c r="U351" s="17"/>
      <c r="V351" s="17"/>
      <c r="W351" s="17"/>
    </row>
    <row r="352">
      <c r="T352" s="17"/>
      <c r="U352" s="17"/>
      <c r="V352" s="17"/>
      <c r="W352" s="17"/>
    </row>
    <row r="353">
      <c r="T353" s="17"/>
      <c r="U353" s="17"/>
      <c r="V353" s="17"/>
      <c r="W353" s="17"/>
    </row>
    <row r="354">
      <c r="T354" s="17"/>
      <c r="U354" s="17"/>
      <c r="V354" s="17"/>
      <c r="W354" s="17"/>
    </row>
    <row r="355">
      <c r="T355" s="17"/>
      <c r="U355" s="17"/>
      <c r="V355" s="17"/>
      <c r="W355" s="17"/>
    </row>
    <row r="356">
      <c r="T356" s="17"/>
      <c r="U356" s="17"/>
      <c r="V356" s="17"/>
      <c r="W356" s="17"/>
    </row>
    <row r="357">
      <c r="T357" s="17"/>
      <c r="U357" s="17"/>
      <c r="V357" s="17"/>
      <c r="W357" s="17"/>
    </row>
    <row r="358">
      <c r="T358" s="17"/>
      <c r="U358" s="17"/>
      <c r="V358" s="17"/>
      <c r="W358" s="17"/>
    </row>
    <row r="359">
      <c r="T359" s="17"/>
      <c r="U359" s="17"/>
      <c r="V359" s="17"/>
      <c r="W359" s="17"/>
    </row>
    <row r="360">
      <c r="T360" s="17"/>
      <c r="U360" s="17"/>
      <c r="V360" s="17"/>
      <c r="W360" s="17"/>
    </row>
    <row r="361">
      <c r="T361" s="17"/>
      <c r="U361" s="17"/>
      <c r="V361" s="17"/>
      <c r="W361" s="17"/>
    </row>
    <row r="362">
      <c r="T362" s="17"/>
      <c r="U362" s="17"/>
      <c r="V362" s="17"/>
      <c r="W362" s="17"/>
    </row>
    <row r="363">
      <c r="T363" s="17"/>
      <c r="U363" s="17"/>
      <c r="V363" s="17"/>
      <c r="W363" s="17"/>
    </row>
    <row r="364">
      <c r="T364" s="17"/>
      <c r="U364" s="17"/>
      <c r="V364" s="17"/>
      <c r="W364" s="17"/>
    </row>
    <row r="365">
      <c r="T365" s="17"/>
      <c r="U365" s="17"/>
      <c r="V365" s="17"/>
      <c r="W365" s="17"/>
    </row>
    <row r="366">
      <c r="T366" s="17"/>
      <c r="U366" s="17"/>
      <c r="V366" s="17"/>
      <c r="W366" s="17"/>
    </row>
    <row r="367">
      <c r="T367" s="17"/>
      <c r="U367" s="17"/>
      <c r="V367" s="17"/>
      <c r="W367" s="17"/>
    </row>
    <row r="368">
      <c r="T368" s="17"/>
      <c r="U368" s="17"/>
      <c r="V368" s="17"/>
      <c r="W368" s="17"/>
    </row>
    <row r="369">
      <c r="T369" s="17"/>
      <c r="U369" s="17"/>
      <c r="V369" s="17"/>
      <c r="W369" s="17"/>
    </row>
    <row r="370">
      <c r="T370" s="17"/>
      <c r="U370" s="17"/>
      <c r="V370" s="17"/>
      <c r="W370" s="17"/>
    </row>
    <row r="371">
      <c r="T371" s="17"/>
      <c r="U371" s="17"/>
      <c r="V371" s="17"/>
      <c r="W371" s="17"/>
    </row>
    <row r="372">
      <c r="T372" s="17"/>
      <c r="U372" s="17"/>
      <c r="V372" s="17"/>
      <c r="W372" s="17"/>
    </row>
    <row r="373">
      <c r="T373" s="17"/>
      <c r="U373" s="17"/>
      <c r="V373" s="17"/>
      <c r="W373" s="17"/>
    </row>
    <row r="374">
      <c r="T374" s="17"/>
      <c r="U374" s="17"/>
      <c r="V374" s="17"/>
      <c r="W374" s="17"/>
    </row>
    <row r="375">
      <c r="T375" s="17"/>
      <c r="U375" s="17"/>
      <c r="V375" s="17"/>
      <c r="W375" s="17"/>
    </row>
    <row r="376">
      <c r="T376" s="17"/>
      <c r="U376" s="17"/>
      <c r="V376" s="17"/>
      <c r="W376" s="17"/>
    </row>
    <row r="377">
      <c r="T377" s="17"/>
      <c r="U377" s="17"/>
      <c r="V377" s="17"/>
      <c r="W377" s="17"/>
    </row>
    <row r="378">
      <c r="T378" s="17"/>
      <c r="U378" s="17"/>
      <c r="V378" s="17"/>
      <c r="W378" s="17"/>
    </row>
    <row r="379">
      <c r="T379" s="17"/>
      <c r="U379" s="17"/>
      <c r="V379" s="17"/>
      <c r="W379" s="17"/>
    </row>
    <row r="380">
      <c r="T380" s="17"/>
      <c r="U380" s="17"/>
      <c r="V380" s="17"/>
      <c r="W380" s="17"/>
    </row>
    <row r="381">
      <c r="T381" s="17"/>
      <c r="U381" s="17"/>
      <c r="V381" s="17"/>
      <c r="W381" s="17"/>
    </row>
    <row r="382">
      <c r="T382" s="17"/>
      <c r="U382" s="17"/>
      <c r="V382" s="17"/>
      <c r="W382" s="17"/>
    </row>
    <row r="383">
      <c r="T383" s="17"/>
      <c r="U383" s="17"/>
      <c r="V383" s="17"/>
      <c r="W383" s="17"/>
    </row>
    <row r="384">
      <c r="T384" s="17"/>
      <c r="U384" s="17"/>
      <c r="V384" s="17"/>
      <c r="W384" s="17"/>
    </row>
    <row r="385">
      <c r="T385" s="17"/>
      <c r="U385" s="17"/>
      <c r="V385" s="17"/>
      <c r="W385" s="17"/>
    </row>
    <row r="386">
      <c r="T386" s="17"/>
      <c r="U386" s="17"/>
      <c r="V386" s="17"/>
      <c r="W386" s="17"/>
    </row>
    <row r="387">
      <c r="T387" s="17"/>
      <c r="U387" s="17"/>
      <c r="V387" s="17"/>
      <c r="W387" s="17"/>
    </row>
    <row r="388">
      <c r="T388" s="17"/>
      <c r="U388" s="17"/>
      <c r="V388" s="17"/>
      <c r="W388" s="17"/>
    </row>
    <row r="389">
      <c r="T389" s="17"/>
      <c r="U389" s="17"/>
      <c r="V389" s="17"/>
      <c r="W389" s="17"/>
    </row>
    <row r="390">
      <c r="T390" s="17"/>
      <c r="U390" s="17"/>
      <c r="V390" s="17"/>
      <c r="W390" s="17"/>
    </row>
    <row r="391">
      <c r="T391" s="17"/>
      <c r="U391" s="17"/>
      <c r="V391" s="17"/>
      <c r="W391" s="17"/>
    </row>
    <row r="392">
      <c r="T392" s="17"/>
      <c r="U392" s="17"/>
      <c r="V392" s="17"/>
      <c r="W392" s="17"/>
    </row>
    <row r="393">
      <c r="T393" s="17"/>
      <c r="U393" s="17"/>
      <c r="V393" s="17"/>
      <c r="W393" s="17"/>
    </row>
    <row r="394">
      <c r="T394" s="17"/>
      <c r="U394" s="17"/>
      <c r="V394" s="17"/>
      <c r="W394" s="17"/>
    </row>
    <row r="395">
      <c r="T395" s="17"/>
      <c r="U395" s="17"/>
      <c r="V395" s="17"/>
      <c r="W395" s="17"/>
    </row>
    <row r="396">
      <c r="T396" s="17"/>
      <c r="U396" s="17"/>
      <c r="V396" s="17"/>
      <c r="W396" s="17"/>
    </row>
    <row r="397">
      <c r="T397" s="17"/>
      <c r="U397" s="17"/>
      <c r="V397" s="17"/>
      <c r="W397" s="17"/>
    </row>
    <row r="398">
      <c r="T398" s="17"/>
      <c r="U398" s="17"/>
      <c r="V398" s="17"/>
      <c r="W398" s="17"/>
    </row>
    <row r="399">
      <c r="T399" s="17"/>
      <c r="U399" s="17"/>
      <c r="V399" s="17"/>
      <c r="W399" s="17"/>
    </row>
    <row r="400">
      <c r="T400" s="17"/>
      <c r="U400" s="17"/>
      <c r="V400" s="17"/>
      <c r="W400" s="17"/>
    </row>
    <row r="401">
      <c r="T401" s="17"/>
      <c r="U401" s="17"/>
      <c r="V401" s="17"/>
      <c r="W401" s="17"/>
    </row>
    <row r="402">
      <c r="T402" s="17"/>
      <c r="U402" s="17"/>
      <c r="V402" s="17"/>
      <c r="W402" s="17"/>
    </row>
    <row r="403">
      <c r="T403" s="17"/>
      <c r="U403" s="17"/>
      <c r="V403" s="17"/>
      <c r="W403" s="17"/>
    </row>
    <row r="404">
      <c r="T404" s="17"/>
      <c r="U404" s="17"/>
      <c r="V404" s="17"/>
      <c r="W404" s="17"/>
    </row>
    <row r="405">
      <c r="T405" s="17"/>
      <c r="U405" s="17"/>
      <c r="V405" s="17"/>
      <c r="W405" s="17"/>
    </row>
    <row r="406">
      <c r="T406" s="17"/>
      <c r="U406" s="17"/>
      <c r="V406" s="17"/>
      <c r="W406" s="17"/>
    </row>
    <row r="407">
      <c r="T407" s="17"/>
      <c r="U407" s="17"/>
      <c r="V407" s="17"/>
      <c r="W407" s="17"/>
    </row>
    <row r="408">
      <c r="T408" s="17"/>
      <c r="U408" s="17"/>
      <c r="V408" s="17"/>
      <c r="W408" s="17"/>
    </row>
    <row r="409">
      <c r="T409" s="17"/>
      <c r="U409" s="17"/>
      <c r="V409" s="17"/>
      <c r="W409" s="17"/>
    </row>
    <row r="410">
      <c r="T410" s="17"/>
      <c r="U410" s="17"/>
      <c r="V410" s="17"/>
      <c r="W410" s="17"/>
    </row>
    <row r="411">
      <c r="T411" s="17"/>
      <c r="U411" s="17"/>
      <c r="V411" s="17"/>
      <c r="W411" s="17"/>
    </row>
    <row r="412">
      <c r="T412" s="17"/>
      <c r="U412" s="17"/>
      <c r="V412" s="17"/>
      <c r="W412" s="17"/>
    </row>
    <row r="413">
      <c r="T413" s="17"/>
      <c r="U413" s="17"/>
      <c r="V413" s="17"/>
      <c r="W413" s="17"/>
    </row>
    <row r="414">
      <c r="T414" s="17"/>
      <c r="U414" s="17"/>
      <c r="V414" s="17"/>
      <c r="W414" s="17"/>
    </row>
    <row r="415">
      <c r="T415" s="17"/>
      <c r="U415" s="17"/>
      <c r="V415" s="17"/>
      <c r="W415" s="17"/>
    </row>
    <row r="416">
      <c r="T416" s="17"/>
      <c r="U416" s="17"/>
      <c r="V416" s="17"/>
      <c r="W416" s="17"/>
    </row>
    <row r="417">
      <c r="T417" s="17"/>
      <c r="U417" s="17"/>
      <c r="V417" s="17"/>
      <c r="W417" s="17"/>
    </row>
    <row r="418">
      <c r="T418" s="17"/>
      <c r="U418" s="17"/>
      <c r="V418" s="17"/>
      <c r="W418" s="17"/>
    </row>
    <row r="419">
      <c r="T419" s="17"/>
      <c r="U419" s="17"/>
      <c r="V419" s="17"/>
      <c r="W419" s="17"/>
    </row>
    <row r="420">
      <c r="T420" s="17"/>
      <c r="U420" s="17"/>
      <c r="V420" s="17"/>
      <c r="W420" s="17"/>
    </row>
    <row r="421">
      <c r="T421" s="17"/>
      <c r="U421" s="17"/>
      <c r="V421" s="17"/>
      <c r="W421" s="17"/>
    </row>
    <row r="422">
      <c r="T422" s="17"/>
      <c r="U422" s="17"/>
      <c r="V422" s="17"/>
      <c r="W422" s="17"/>
    </row>
    <row r="423">
      <c r="T423" s="17"/>
      <c r="U423" s="17"/>
      <c r="V423" s="17"/>
      <c r="W423" s="17"/>
    </row>
    <row r="424">
      <c r="T424" s="17"/>
      <c r="U424" s="17"/>
      <c r="V424" s="17"/>
      <c r="W424" s="17"/>
    </row>
    <row r="425">
      <c r="T425" s="17"/>
      <c r="U425" s="17"/>
      <c r="V425" s="17"/>
      <c r="W425" s="17"/>
    </row>
    <row r="426">
      <c r="T426" s="17"/>
      <c r="U426" s="17"/>
      <c r="V426" s="17"/>
      <c r="W426" s="17"/>
    </row>
    <row r="427">
      <c r="T427" s="17"/>
      <c r="U427" s="17"/>
      <c r="V427" s="17"/>
      <c r="W427" s="17"/>
    </row>
    <row r="428">
      <c r="T428" s="17"/>
      <c r="U428" s="17"/>
      <c r="V428" s="17"/>
      <c r="W428" s="17"/>
    </row>
    <row r="429">
      <c r="T429" s="17"/>
      <c r="U429" s="17"/>
      <c r="V429" s="17"/>
      <c r="W429" s="17"/>
    </row>
    <row r="430">
      <c r="T430" s="17"/>
      <c r="U430" s="17"/>
      <c r="V430" s="17"/>
      <c r="W430" s="17"/>
    </row>
    <row r="431">
      <c r="T431" s="17"/>
      <c r="U431" s="17"/>
      <c r="V431" s="17"/>
      <c r="W431" s="17"/>
    </row>
    <row r="432">
      <c r="T432" s="17"/>
      <c r="U432" s="17"/>
      <c r="V432" s="17"/>
      <c r="W432" s="17"/>
    </row>
    <row r="433">
      <c r="T433" s="17"/>
      <c r="U433" s="17"/>
      <c r="V433" s="17"/>
      <c r="W433" s="17"/>
    </row>
    <row r="434">
      <c r="T434" s="17"/>
      <c r="U434" s="17"/>
      <c r="V434" s="17"/>
      <c r="W434" s="17"/>
    </row>
    <row r="435">
      <c r="T435" s="17"/>
      <c r="U435" s="17"/>
      <c r="V435" s="17"/>
      <c r="W435" s="17"/>
    </row>
    <row r="436">
      <c r="T436" s="17"/>
      <c r="U436" s="17"/>
      <c r="V436" s="17"/>
      <c r="W436" s="17"/>
    </row>
    <row r="437">
      <c r="T437" s="17"/>
      <c r="U437" s="17"/>
      <c r="V437" s="17"/>
      <c r="W437" s="17"/>
    </row>
    <row r="438">
      <c r="T438" s="17"/>
      <c r="U438" s="17"/>
      <c r="V438" s="17"/>
      <c r="W438" s="17"/>
    </row>
    <row r="439">
      <c r="T439" s="17"/>
      <c r="U439" s="17"/>
      <c r="V439" s="17"/>
      <c r="W439" s="17"/>
    </row>
    <row r="440">
      <c r="T440" s="17"/>
      <c r="U440" s="17"/>
      <c r="V440" s="17"/>
      <c r="W440" s="17"/>
    </row>
    <row r="441">
      <c r="T441" s="17"/>
      <c r="U441" s="17"/>
      <c r="V441" s="17"/>
      <c r="W441" s="17"/>
    </row>
    <row r="442">
      <c r="T442" s="17"/>
      <c r="U442" s="17"/>
      <c r="V442" s="17"/>
      <c r="W442" s="17"/>
    </row>
    <row r="443">
      <c r="T443" s="17"/>
      <c r="U443" s="17"/>
      <c r="V443" s="17"/>
      <c r="W443" s="17"/>
    </row>
    <row r="444">
      <c r="T444" s="17"/>
      <c r="U444" s="17"/>
      <c r="V444" s="17"/>
      <c r="W444" s="17"/>
    </row>
    <row r="445">
      <c r="T445" s="17"/>
      <c r="U445" s="17"/>
      <c r="V445" s="17"/>
      <c r="W445" s="17"/>
    </row>
    <row r="446">
      <c r="T446" s="17"/>
      <c r="U446" s="17"/>
      <c r="V446" s="17"/>
      <c r="W446" s="17"/>
    </row>
    <row r="447">
      <c r="T447" s="17"/>
      <c r="U447" s="17"/>
      <c r="V447" s="17"/>
      <c r="W447" s="17"/>
    </row>
    <row r="448">
      <c r="T448" s="17"/>
      <c r="U448" s="17"/>
      <c r="V448" s="17"/>
      <c r="W448" s="17"/>
    </row>
    <row r="449">
      <c r="T449" s="17"/>
      <c r="U449" s="17"/>
      <c r="V449" s="17"/>
      <c r="W449" s="17"/>
    </row>
    <row r="450">
      <c r="T450" s="17"/>
      <c r="U450" s="17"/>
      <c r="V450" s="17"/>
      <c r="W450" s="17"/>
    </row>
    <row r="451">
      <c r="T451" s="17"/>
      <c r="U451" s="17"/>
      <c r="V451" s="17"/>
      <c r="W451" s="17"/>
    </row>
    <row r="452">
      <c r="T452" s="17"/>
      <c r="U452" s="17"/>
      <c r="V452" s="17"/>
      <c r="W452" s="17"/>
    </row>
    <row r="453">
      <c r="T453" s="17"/>
      <c r="U453" s="17"/>
      <c r="V453" s="17"/>
      <c r="W453" s="17"/>
    </row>
    <row r="454">
      <c r="T454" s="17"/>
      <c r="U454" s="17"/>
      <c r="V454" s="17"/>
      <c r="W454" s="17"/>
    </row>
    <row r="455">
      <c r="T455" s="17"/>
      <c r="U455" s="17"/>
      <c r="V455" s="17"/>
      <c r="W455" s="17"/>
    </row>
    <row r="456">
      <c r="T456" s="17"/>
      <c r="U456" s="17"/>
      <c r="V456" s="17"/>
      <c r="W456" s="17"/>
    </row>
    <row r="457">
      <c r="T457" s="17"/>
      <c r="U457" s="17"/>
      <c r="V457" s="17"/>
      <c r="W457" s="17"/>
    </row>
    <row r="458">
      <c r="T458" s="17"/>
      <c r="U458" s="17"/>
      <c r="V458" s="17"/>
      <c r="W458" s="17"/>
    </row>
    <row r="459">
      <c r="T459" s="17"/>
      <c r="U459" s="17"/>
      <c r="V459" s="17"/>
      <c r="W459" s="17"/>
    </row>
    <row r="460">
      <c r="T460" s="17"/>
      <c r="U460" s="17"/>
      <c r="V460" s="17"/>
      <c r="W460" s="17"/>
    </row>
    <row r="461">
      <c r="T461" s="17"/>
      <c r="U461" s="17"/>
      <c r="V461" s="17"/>
      <c r="W461" s="17"/>
    </row>
    <row r="462">
      <c r="T462" s="17"/>
      <c r="U462" s="17"/>
      <c r="V462" s="17"/>
      <c r="W462" s="17"/>
    </row>
    <row r="463">
      <c r="T463" s="17"/>
      <c r="U463" s="17"/>
      <c r="V463" s="17"/>
      <c r="W463" s="17"/>
    </row>
    <row r="464">
      <c r="T464" s="17"/>
      <c r="U464" s="17"/>
      <c r="V464" s="17"/>
      <c r="W464" s="17"/>
    </row>
    <row r="465">
      <c r="T465" s="17"/>
      <c r="U465" s="17"/>
      <c r="V465" s="17"/>
      <c r="W465" s="17"/>
    </row>
    <row r="466">
      <c r="T466" s="17"/>
      <c r="U466" s="17"/>
      <c r="V466" s="17"/>
      <c r="W466" s="17"/>
    </row>
    <row r="467">
      <c r="T467" s="17"/>
      <c r="U467" s="17"/>
      <c r="V467" s="17"/>
      <c r="W467" s="17"/>
    </row>
    <row r="468">
      <c r="T468" s="17"/>
      <c r="U468" s="17"/>
      <c r="V468" s="17"/>
      <c r="W468" s="17"/>
    </row>
    <row r="469">
      <c r="T469" s="17"/>
      <c r="U469" s="17"/>
      <c r="V469" s="17"/>
      <c r="W469" s="17"/>
    </row>
    <row r="470">
      <c r="T470" s="17"/>
      <c r="U470" s="17"/>
      <c r="V470" s="17"/>
      <c r="W470" s="17"/>
    </row>
    <row r="471">
      <c r="T471" s="17"/>
      <c r="U471" s="17"/>
      <c r="V471" s="17"/>
      <c r="W471" s="17"/>
    </row>
    <row r="472">
      <c r="T472" s="17"/>
      <c r="U472" s="17"/>
      <c r="V472" s="17"/>
      <c r="W472" s="17"/>
    </row>
    <row r="473">
      <c r="T473" s="17"/>
      <c r="U473" s="17"/>
      <c r="V473" s="17"/>
      <c r="W473" s="17"/>
    </row>
    <row r="474">
      <c r="T474" s="17"/>
      <c r="U474" s="17"/>
      <c r="V474" s="17"/>
      <c r="W474" s="17"/>
    </row>
    <row r="475">
      <c r="T475" s="17"/>
      <c r="U475" s="17"/>
      <c r="V475" s="17"/>
      <c r="W475" s="17"/>
    </row>
    <row r="476">
      <c r="T476" s="17"/>
      <c r="U476" s="17"/>
      <c r="V476" s="17"/>
      <c r="W476" s="17"/>
    </row>
    <row r="477">
      <c r="T477" s="17"/>
      <c r="U477" s="17"/>
      <c r="V477" s="17"/>
      <c r="W477" s="17"/>
    </row>
    <row r="478">
      <c r="T478" s="17"/>
      <c r="U478" s="17"/>
      <c r="V478" s="17"/>
      <c r="W478" s="17"/>
    </row>
    <row r="479">
      <c r="T479" s="17"/>
      <c r="U479" s="17"/>
      <c r="V479" s="17"/>
      <c r="W479" s="17"/>
    </row>
    <row r="480">
      <c r="T480" s="17"/>
      <c r="U480" s="17"/>
      <c r="V480" s="17"/>
      <c r="W480" s="17"/>
    </row>
    <row r="481">
      <c r="T481" s="17"/>
      <c r="U481" s="17"/>
      <c r="V481" s="17"/>
      <c r="W481" s="17"/>
    </row>
    <row r="482">
      <c r="T482" s="17"/>
      <c r="U482" s="17"/>
      <c r="V482" s="17"/>
      <c r="W482" s="17"/>
    </row>
    <row r="483">
      <c r="T483" s="17"/>
      <c r="U483" s="17"/>
      <c r="V483" s="17"/>
      <c r="W483" s="17"/>
    </row>
    <row r="484">
      <c r="T484" s="17"/>
      <c r="U484" s="17"/>
      <c r="V484" s="17"/>
      <c r="W484" s="17"/>
    </row>
    <row r="485">
      <c r="T485" s="17"/>
      <c r="U485" s="17"/>
      <c r="V485" s="17"/>
      <c r="W485" s="17"/>
    </row>
    <row r="486">
      <c r="T486" s="17"/>
      <c r="U486" s="17"/>
      <c r="V486" s="17"/>
      <c r="W486" s="17"/>
    </row>
    <row r="487">
      <c r="T487" s="17"/>
      <c r="U487" s="17"/>
      <c r="V487" s="17"/>
      <c r="W487" s="17"/>
    </row>
    <row r="488">
      <c r="T488" s="17"/>
      <c r="U488" s="17"/>
      <c r="V488" s="17"/>
      <c r="W488" s="17"/>
    </row>
    <row r="489">
      <c r="T489" s="17"/>
      <c r="U489" s="17"/>
      <c r="V489" s="17"/>
      <c r="W489" s="17"/>
    </row>
    <row r="490">
      <c r="T490" s="17"/>
      <c r="U490" s="17"/>
      <c r="V490" s="17"/>
      <c r="W490" s="17"/>
    </row>
    <row r="491">
      <c r="T491" s="17"/>
      <c r="U491" s="17"/>
      <c r="V491" s="17"/>
      <c r="W491" s="17"/>
    </row>
    <row r="492">
      <c r="T492" s="17"/>
      <c r="U492" s="17"/>
      <c r="V492" s="17"/>
      <c r="W492" s="17"/>
    </row>
    <row r="493">
      <c r="T493" s="17"/>
      <c r="U493" s="17"/>
      <c r="V493" s="17"/>
      <c r="W493" s="17"/>
    </row>
    <row r="494">
      <c r="T494" s="17"/>
      <c r="U494" s="17"/>
      <c r="V494" s="17"/>
      <c r="W494" s="17"/>
    </row>
    <row r="495">
      <c r="T495" s="17"/>
      <c r="U495" s="17"/>
      <c r="V495" s="17"/>
      <c r="W495" s="17"/>
    </row>
    <row r="496">
      <c r="T496" s="17"/>
      <c r="U496" s="17"/>
      <c r="V496" s="17"/>
      <c r="W496" s="17"/>
    </row>
    <row r="497">
      <c r="T497" s="17"/>
      <c r="U497" s="17"/>
      <c r="V497" s="17"/>
      <c r="W497" s="17"/>
    </row>
    <row r="498">
      <c r="T498" s="17"/>
      <c r="U498" s="17"/>
      <c r="V498" s="17"/>
      <c r="W498" s="17"/>
    </row>
    <row r="499">
      <c r="T499" s="17"/>
      <c r="U499" s="17"/>
      <c r="V499" s="17"/>
      <c r="W499" s="17"/>
    </row>
    <row r="500">
      <c r="T500" s="17"/>
      <c r="U500" s="17"/>
      <c r="V500" s="17"/>
      <c r="W500" s="17"/>
    </row>
    <row r="501">
      <c r="T501" s="17"/>
      <c r="U501" s="17"/>
      <c r="V501" s="17"/>
      <c r="W501" s="17"/>
    </row>
    <row r="502">
      <c r="T502" s="17"/>
      <c r="U502" s="17"/>
      <c r="V502" s="17"/>
      <c r="W502" s="17"/>
    </row>
    <row r="503">
      <c r="T503" s="17"/>
      <c r="U503" s="17"/>
      <c r="V503" s="17"/>
      <c r="W503" s="17"/>
    </row>
    <row r="504">
      <c r="T504" s="17"/>
      <c r="U504" s="17"/>
      <c r="V504" s="17"/>
      <c r="W504" s="17"/>
    </row>
    <row r="505">
      <c r="T505" s="17"/>
      <c r="U505" s="17"/>
      <c r="V505" s="17"/>
      <c r="W505" s="17"/>
    </row>
    <row r="506">
      <c r="T506" s="17"/>
      <c r="U506" s="17"/>
      <c r="V506" s="17"/>
      <c r="W506" s="17"/>
    </row>
    <row r="507">
      <c r="T507" s="17"/>
      <c r="U507" s="17"/>
      <c r="V507" s="17"/>
      <c r="W507" s="17"/>
    </row>
    <row r="508">
      <c r="T508" s="17"/>
      <c r="U508" s="17"/>
      <c r="V508" s="17"/>
      <c r="W508" s="17"/>
    </row>
    <row r="509">
      <c r="T509" s="17"/>
      <c r="U509" s="17"/>
      <c r="V509" s="17"/>
      <c r="W509" s="17"/>
    </row>
    <row r="510">
      <c r="T510" s="17"/>
      <c r="U510" s="17"/>
      <c r="V510" s="17"/>
      <c r="W510" s="17"/>
    </row>
    <row r="511">
      <c r="T511" s="17"/>
      <c r="U511" s="17"/>
      <c r="V511" s="17"/>
      <c r="W511" s="17"/>
    </row>
    <row r="512">
      <c r="T512" s="17"/>
      <c r="U512" s="17"/>
      <c r="V512" s="17"/>
      <c r="W512" s="17"/>
    </row>
    <row r="513">
      <c r="T513" s="17"/>
      <c r="U513" s="17"/>
      <c r="V513" s="17"/>
      <c r="W513" s="17"/>
    </row>
    <row r="514">
      <c r="T514" s="17"/>
      <c r="U514" s="17"/>
      <c r="V514" s="17"/>
      <c r="W514" s="17"/>
    </row>
    <row r="515">
      <c r="T515" s="17"/>
      <c r="U515" s="17"/>
      <c r="V515" s="17"/>
      <c r="W515" s="17"/>
    </row>
    <row r="516">
      <c r="T516" s="17"/>
      <c r="U516" s="17"/>
      <c r="V516" s="17"/>
      <c r="W516" s="17"/>
    </row>
    <row r="517">
      <c r="T517" s="17"/>
      <c r="U517" s="17"/>
      <c r="V517" s="17"/>
      <c r="W517" s="17"/>
    </row>
    <row r="518">
      <c r="T518" s="17"/>
      <c r="U518" s="17"/>
      <c r="V518" s="17"/>
      <c r="W518" s="17"/>
    </row>
    <row r="519">
      <c r="T519" s="17"/>
      <c r="U519" s="17"/>
      <c r="V519" s="17"/>
      <c r="W519" s="17"/>
    </row>
    <row r="520">
      <c r="T520" s="17"/>
      <c r="U520" s="17"/>
      <c r="V520" s="17"/>
      <c r="W520" s="17"/>
    </row>
    <row r="521">
      <c r="T521" s="17"/>
      <c r="U521" s="17"/>
      <c r="V521" s="17"/>
      <c r="W521" s="17"/>
    </row>
    <row r="522">
      <c r="T522" s="17"/>
      <c r="U522" s="17"/>
      <c r="V522" s="17"/>
      <c r="W522" s="17"/>
    </row>
    <row r="523">
      <c r="T523" s="17"/>
      <c r="U523" s="17"/>
      <c r="V523" s="17"/>
      <c r="W523" s="17"/>
    </row>
    <row r="524">
      <c r="T524" s="17"/>
      <c r="U524" s="17"/>
      <c r="V524" s="17"/>
      <c r="W524" s="17"/>
    </row>
    <row r="525">
      <c r="T525" s="17"/>
      <c r="U525" s="17"/>
      <c r="V525" s="17"/>
      <c r="W525" s="17"/>
    </row>
    <row r="526">
      <c r="T526" s="17"/>
      <c r="U526" s="17"/>
      <c r="V526" s="17"/>
      <c r="W526" s="17"/>
    </row>
    <row r="527">
      <c r="T527" s="17"/>
      <c r="U527" s="17"/>
      <c r="V527" s="17"/>
      <c r="W527" s="17"/>
    </row>
    <row r="528">
      <c r="T528" s="17"/>
      <c r="U528" s="17"/>
      <c r="V528" s="17"/>
      <c r="W528" s="17"/>
    </row>
    <row r="529">
      <c r="T529" s="17"/>
      <c r="U529" s="17"/>
      <c r="V529" s="17"/>
      <c r="W529" s="17"/>
    </row>
    <row r="530">
      <c r="T530" s="17"/>
      <c r="U530" s="17"/>
      <c r="V530" s="17"/>
      <c r="W530" s="17"/>
    </row>
    <row r="531">
      <c r="T531" s="17"/>
      <c r="U531" s="17"/>
      <c r="V531" s="17"/>
      <c r="W531" s="17"/>
    </row>
    <row r="532">
      <c r="T532" s="17"/>
      <c r="U532" s="17"/>
      <c r="V532" s="17"/>
      <c r="W532" s="17"/>
    </row>
    <row r="533">
      <c r="T533" s="17"/>
      <c r="U533" s="17"/>
      <c r="V533" s="17"/>
      <c r="W533" s="17"/>
    </row>
    <row r="534">
      <c r="T534" s="17"/>
      <c r="U534" s="17"/>
      <c r="V534" s="17"/>
      <c r="W534" s="17"/>
    </row>
    <row r="535">
      <c r="T535" s="17"/>
      <c r="U535" s="17"/>
      <c r="V535" s="17"/>
      <c r="W535" s="17"/>
    </row>
    <row r="536">
      <c r="T536" s="17"/>
      <c r="U536" s="17"/>
      <c r="V536" s="17"/>
      <c r="W536" s="17"/>
    </row>
    <row r="537">
      <c r="T537" s="17"/>
      <c r="U537" s="17"/>
      <c r="V537" s="17"/>
      <c r="W537" s="17"/>
    </row>
    <row r="538">
      <c r="T538" s="17"/>
      <c r="U538" s="17"/>
      <c r="V538" s="17"/>
      <c r="W538" s="17"/>
    </row>
    <row r="539">
      <c r="T539" s="17"/>
      <c r="U539" s="17"/>
      <c r="V539" s="17"/>
      <c r="W539" s="17"/>
    </row>
    <row r="540">
      <c r="T540" s="17"/>
      <c r="U540" s="17"/>
      <c r="V540" s="17"/>
      <c r="W540" s="17"/>
    </row>
    <row r="541">
      <c r="T541" s="17"/>
      <c r="U541" s="17"/>
      <c r="V541" s="17"/>
      <c r="W541" s="17"/>
    </row>
    <row r="542">
      <c r="T542" s="17"/>
      <c r="U542" s="17"/>
      <c r="V542" s="17"/>
      <c r="W542" s="17"/>
    </row>
    <row r="543">
      <c r="T543" s="17"/>
      <c r="U543" s="17"/>
      <c r="V543" s="17"/>
      <c r="W543" s="17"/>
    </row>
    <row r="544">
      <c r="T544" s="17"/>
      <c r="U544" s="17"/>
      <c r="V544" s="17"/>
      <c r="W544" s="17"/>
    </row>
    <row r="545">
      <c r="T545" s="17"/>
      <c r="U545" s="17"/>
      <c r="V545" s="17"/>
      <c r="W545" s="17"/>
    </row>
    <row r="546">
      <c r="T546" s="17"/>
      <c r="U546" s="17"/>
      <c r="V546" s="17"/>
      <c r="W546" s="17"/>
    </row>
    <row r="547">
      <c r="T547" s="17"/>
      <c r="U547" s="17"/>
      <c r="V547" s="17"/>
      <c r="W547" s="17"/>
    </row>
    <row r="548">
      <c r="T548" s="17"/>
      <c r="U548" s="17"/>
      <c r="V548" s="17"/>
      <c r="W548" s="17"/>
    </row>
    <row r="549">
      <c r="T549" s="17"/>
      <c r="U549" s="17"/>
      <c r="V549" s="17"/>
      <c r="W549" s="17"/>
    </row>
    <row r="550">
      <c r="T550" s="17"/>
      <c r="U550" s="17"/>
      <c r="V550" s="17"/>
      <c r="W550" s="17"/>
    </row>
    <row r="551">
      <c r="T551" s="17"/>
      <c r="U551" s="17"/>
      <c r="V551" s="17"/>
      <c r="W551" s="17"/>
    </row>
    <row r="552">
      <c r="T552" s="17"/>
      <c r="U552" s="17"/>
      <c r="V552" s="17"/>
      <c r="W552" s="17"/>
    </row>
    <row r="553">
      <c r="T553" s="17"/>
      <c r="U553" s="17"/>
      <c r="V553" s="17"/>
      <c r="W553" s="17"/>
    </row>
    <row r="554">
      <c r="T554" s="17"/>
      <c r="U554" s="17"/>
      <c r="V554" s="17"/>
      <c r="W554" s="17"/>
    </row>
    <row r="555">
      <c r="T555" s="17"/>
      <c r="U555" s="17"/>
      <c r="V555" s="17"/>
      <c r="W555" s="17"/>
    </row>
    <row r="556">
      <c r="T556" s="17"/>
      <c r="U556" s="17"/>
      <c r="V556" s="17"/>
      <c r="W556" s="17"/>
    </row>
    <row r="557">
      <c r="T557" s="17"/>
      <c r="U557" s="17"/>
      <c r="V557" s="17"/>
      <c r="W557" s="17"/>
    </row>
    <row r="558">
      <c r="T558" s="17"/>
      <c r="U558" s="17"/>
      <c r="V558" s="17"/>
      <c r="W558" s="17"/>
    </row>
    <row r="559">
      <c r="T559" s="17"/>
      <c r="U559" s="17"/>
      <c r="V559" s="17"/>
      <c r="W559" s="17"/>
    </row>
    <row r="560">
      <c r="T560" s="17"/>
      <c r="U560" s="17"/>
      <c r="V560" s="17"/>
      <c r="W560" s="17"/>
    </row>
    <row r="561">
      <c r="T561" s="17"/>
      <c r="U561" s="17"/>
      <c r="V561" s="17"/>
      <c r="W561" s="17"/>
    </row>
    <row r="562">
      <c r="T562" s="17"/>
      <c r="U562" s="17"/>
      <c r="V562" s="17"/>
      <c r="W562" s="17"/>
    </row>
    <row r="563">
      <c r="T563" s="17"/>
      <c r="U563" s="17"/>
      <c r="V563" s="17"/>
      <c r="W563" s="17"/>
    </row>
    <row r="564">
      <c r="T564" s="17"/>
      <c r="U564" s="17"/>
      <c r="V564" s="17"/>
      <c r="W564" s="17"/>
    </row>
    <row r="565">
      <c r="T565" s="17"/>
      <c r="U565" s="17"/>
      <c r="V565" s="17"/>
      <c r="W565" s="17"/>
    </row>
    <row r="566">
      <c r="T566" s="17"/>
      <c r="U566" s="17"/>
      <c r="V566" s="17"/>
      <c r="W566" s="17"/>
    </row>
    <row r="567">
      <c r="T567" s="17"/>
      <c r="U567" s="17"/>
      <c r="V567" s="17"/>
      <c r="W567" s="17"/>
    </row>
    <row r="568">
      <c r="T568" s="17"/>
      <c r="U568" s="17"/>
      <c r="V568" s="17"/>
      <c r="W568" s="17"/>
    </row>
    <row r="569">
      <c r="T569" s="17"/>
      <c r="U569" s="17"/>
      <c r="V569" s="17"/>
      <c r="W569" s="17"/>
    </row>
    <row r="570">
      <c r="T570" s="17"/>
      <c r="U570" s="17"/>
      <c r="V570" s="17"/>
      <c r="W570" s="17"/>
    </row>
    <row r="571">
      <c r="T571" s="17"/>
      <c r="U571" s="17"/>
      <c r="V571" s="17"/>
      <c r="W571" s="17"/>
    </row>
    <row r="572">
      <c r="T572" s="17"/>
      <c r="U572" s="17"/>
      <c r="V572" s="17"/>
      <c r="W572" s="17"/>
    </row>
    <row r="573">
      <c r="T573" s="17"/>
      <c r="U573" s="17"/>
      <c r="V573" s="17"/>
      <c r="W573" s="17"/>
    </row>
    <row r="574">
      <c r="T574" s="17"/>
      <c r="U574" s="17"/>
      <c r="V574" s="17"/>
      <c r="W574" s="17"/>
    </row>
    <row r="575">
      <c r="T575" s="17"/>
      <c r="U575" s="17"/>
      <c r="V575" s="17"/>
      <c r="W575" s="17"/>
    </row>
    <row r="576">
      <c r="T576" s="17"/>
      <c r="U576" s="17"/>
      <c r="V576" s="17"/>
      <c r="W576" s="17"/>
    </row>
    <row r="577">
      <c r="T577" s="17"/>
      <c r="U577" s="17"/>
      <c r="V577" s="17"/>
      <c r="W577" s="17"/>
    </row>
    <row r="578">
      <c r="T578" s="17"/>
      <c r="U578" s="17"/>
      <c r="V578" s="17"/>
      <c r="W578" s="17"/>
    </row>
    <row r="579">
      <c r="T579" s="17"/>
      <c r="U579" s="17"/>
      <c r="V579" s="17"/>
      <c r="W579" s="17"/>
    </row>
    <row r="580">
      <c r="T580" s="17"/>
      <c r="U580" s="17"/>
      <c r="V580" s="17"/>
      <c r="W580" s="17"/>
    </row>
    <row r="581">
      <c r="T581" s="17"/>
      <c r="U581" s="17"/>
      <c r="V581" s="17"/>
      <c r="W581" s="17"/>
    </row>
    <row r="582">
      <c r="T582" s="17"/>
      <c r="U582" s="17"/>
      <c r="V582" s="17"/>
      <c r="W582" s="17"/>
    </row>
    <row r="583">
      <c r="T583" s="17"/>
      <c r="U583" s="17"/>
      <c r="V583" s="17"/>
      <c r="W583" s="17"/>
    </row>
    <row r="584">
      <c r="T584" s="17"/>
      <c r="U584" s="17"/>
      <c r="V584" s="17"/>
      <c r="W584" s="17"/>
    </row>
    <row r="585">
      <c r="T585" s="17"/>
      <c r="U585" s="17"/>
      <c r="V585" s="17"/>
      <c r="W585" s="17"/>
    </row>
    <row r="586">
      <c r="T586" s="17"/>
      <c r="U586" s="17"/>
      <c r="V586" s="17"/>
      <c r="W586" s="17"/>
    </row>
    <row r="587">
      <c r="T587" s="17"/>
      <c r="U587" s="17"/>
      <c r="V587" s="17"/>
      <c r="W587" s="17"/>
    </row>
    <row r="588">
      <c r="T588" s="17"/>
      <c r="U588" s="17"/>
      <c r="V588" s="17"/>
      <c r="W588" s="17"/>
    </row>
    <row r="589">
      <c r="T589" s="17"/>
      <c r="U589" s="17"/>
      <c r="V589" s="17"/>
      <c r="W589" s="17"/>
    </row>
    <row r="590">
      <c r="T590" s="17"/>
      <c r="U590" s="17"/>
      <c r="V590" s="17"/>
      <c r="W590" s="17"/>
    </row>
    <row r="591">
      <c r="T591" s="17"/>
      <c r="U591" s="17"/>
      <c r="V591" s="17"/>
      <c r="W591" s="17"/>
    </row>
    <row r="592">
      <c r="T592" s="17"/>
      <c r="U592" s="17"/>
      <c r="V592" s="17"/>
      <c r="W592" s="17"/>
    </row>
    <row r="593">
      <c r="T593" s="17"/>
      <c r="U593" s="17"/>
      <c r="V593" s="17"/>
      <c r="W593" s="17"/>
    </row>
    <row r="594">
      <c r="T594" s="17"/>
      <c r="U594" s="17"/>
      <c r="V594" s="17"/>
      <c r="W594" s="17"/>
    </row>
    <row r="595">
      <c r="T595" s="17"/>
      <c r="U595" s="17"/>
      <c r="V595" s="17"/>
      <c r="W595" s="17"/>
    </row>
    <row r="596">
      <c r="T596" s="17"/>
      <c r="U596" s="17"/>
      <c r="V596" s="17"/>
      <c r="W596" s="17"/>
    </row>
    <row r="597">
      <c r="T597" s="17"/>
      <c r="U597" s="17"/>
      <c r="V597" s="17"/>
      <c r="W597" s="17"/>
    </row>
    <row r="598">
      <c r="T598" s="17"/>
      <c r="U598" s="17"/>
      <c r="V598" s="17"/>
      <c r="W598" s="17"/>
    </row>
    <row r="599">
      <c r="T599" s="17"/>
      <c r="U599" s="17"/>
      <c r="V599" s="17"/>
      <c r="W599" s="17"/>
    </row>
    <row r="600">
      <c r="T600" s="17"/>
      <c r="U600" s="17"/>
      <c r="V600" s="17"/>
      <c r="W600" s="17"/>
    </row>
    <row r="601">
      <c r="T601" s="17"/>
      <c r="U601" s="17"/>
      <c r="V601" s="17"/>
      <c r="W601" s="17"/>
    </row>
    <row r="602">
      <c r="T602" s="17"/>
      <c r="U602" s="17"/>
      <c r="V602" s="17"/>
      <c r="W602" s="17"/>
    </row>
    <row r="603">
      <c r="T603" s="17"/>
      <c r="U603" s="17"/>
      <c r="V603" s="17"/>
      <c r="W603" s="17"/>
    </row>
    <row r="604">
      <c r="T604" s="17"/>
      <c r="U604" s="17"/>
      <c r="V604" s="17"/>
      <c r="W604" s="17"/>
    </row>
    <row r="605">
      <c r="T605" s="17"/>
      <c r="U605" s="17"/>
      <c r="V605" s="17"/>
      <c r="W605" s="17"/>
    </row>
    <row r="606">
      <c r="T606" s="17"/>
      <c r="U606" s="17"/>
      <c r="V606" s="17"/>
      <c r="W606" s="17"/>
    </row>
    <row r="607">
      <c r="T607" s="17"/>
      <c r="U607" s="17"/>
      <c r="V607" s="17"/>
      <c r="W607" s="17"/>
    </row>
    <row r="608">
      <c r="T608" s="17"/>
      <c r="U608" s="17"/>
      <c r="V608" s="17"/>
      <c r="W608" s="17"/>
    </row>
    <row r="609">
      <c r="T609" s="17"/>
      <c r="U609" s="17"/>
      <c r="V609" s="17"/>
      <c r="W609" s="17"/>
    </row>
    <row r="610">
      <c r="T610" s="17"/>
      <c r="U610" s="17"/>
      <c r="V610" s="17"/>
      <c r="W610" s="17"/>
    </row>
    <row r="611">
      <c r="T611" s="17"/>
      <c r="U611" s="17"/>
      <c r="V611" s="17"/>
      <c r="W611" s="17"/>
    </row>
    <row r="612">
      <c r="T612" s="17"/>
      <c r="U612" s="17"/>
      <c r="V612" s="17"/>
      <c r="W612" s="17"/>
    </row>
    <row r="613">
      <c r="T613" s="17"/>
      <c r="U613" s="17"/>
      <c r="V613" s="17"/>
      <c r="W613" s="17"/>
    </row>
    <row r="614">
      <c r="T614" s="17"/>
      <c r="U614" s="17"/>
      <c r="V614" s="17"/>
      <c r="W614" s="17"/>
    </row>
    <row r="615">
      <c r="T615" s="17"/>
      <c r="U615" s="17"/>
      <c r="V615" s="17"/>
      <c r="W615" s="17"/>
    </row>
    <row r="616">
      <c r="T616" s="17"/>
      <c r="U616" s="17"/>
      <c r="V616" s="17"/>
      <c r="W616" s="17"/>
    </row>
    <row r="617">
      <c r="T617" s="17"/>
      <c r="U617" s="17"/>
      <c r="V617" s="17"/>
      <c r="W617" s="17"/>
    </row>
    <row r="618">
      <c r="T618" s="17"/>
      <c r="U618" s="17"/>
      <c r="V618" s="17"/>
      <c r="W618" s="17"/>
    </row>
    <row r="619">
      <c r="T619" s="17"/>
      <c r="U619" s="17"/>
      <c r="V619" s="17"/>
      <c r="W619" s="17"/>
    </row>
    <row r="620">
      <c r="T620" s="17"/>
      <c r="U620" s="17"/>
      <c r="V620" s="17"/>
      <c r="W620" s="17"/>
    </row>
    <row r="621">
      <c r="T621" s="17"/>
      <c r="U621" s="17"/>
      <c r="V621" s="17"/>
      <c r="W621" s="17"/>
    </row>
    <row r="622">
      <c r="T622" s="17"/>
      <c r="U622" s="17"/>
      <c r="V622" s="17"/>
      <c r="W622" s="17"/>
    </row>
    <row r="623">
      <c r="T623" s="17"/>
      <c r="U623" s="17"/>
      <c r="V623" s="17"/>
      <c r="W623" s="17"/>
    </row>
    <row r="624">
      <c r="T624" s="17"/>
      <c r="U624" s="17"/>
      <c r="V624" s="17"/>
      <c r="W624" s="17"/>
    </row>
    <row r="625">
      <c r="T625" s="17"/>
      <c r="U625" s="17"/>
      <c r="V625" s="17"/>
      <c r="W625" s="17"/>
    </row>
    <row r="626">
      <c r="T626" s="17"/>
      <c r="U626" s="17"/>
      <c r="V626" s="17"/>
      <c r="W626" s="17"/>
    </row>
    <row r="627">
      <c r="T627" s="17"/>
      <c r="U627" s="17"/>
      <c r="V627" s="17"/>
      <c r="W627" s="17"/>
    </row>
    <row r="628">
      <c r="T628" s="17"/>
      <c r="U628" s="17"/>
      <c r="V628" s="17"/>
      <c r="W628" s="17"/>
    </row>
    <row r="629">
      <c r="T629" s="17"/>
      <c r="U629" s="17"/>
      <c r="V629" s="17"/>
      <c r="W629" s="17"/>
    </row>
    <row r="630">
      <c r="T630" s="17"/>
      <c r="U630" s="17"/>
      <c r="V630" s="17"/>
      <c r="W630" s="17"/>
    </row>
    <row r="631">
      <c r="T631" s="17"/>
      <c r="U631" s="17"/>
      <c r="V631" s="17"/>
      <c r="W631" s="17"/>
    </row>
    <row r="632">
      <c r="T632" s="17"/>
      <c r="U632" s="17"/>
      <c r="V632" s="17"/>
      <c r="W632" s="17"/>
    </row>
    <row r="633">
      <c r="T633" s="17"/>
      <c r="U633" s="17"/>
      <c r="V633" s="17"/>
      <c r="W633" s="17"/>
    </row>
    <row r="634">
      <c r="T634" s="17"/>
      <c r="U634" s="17"/>
      <c r="V634" s="17"/>
      <c r="W634" s="17"/>
    </row>
    <row r="635">
      <c r="T635" s="17"/>
      <c r="U635" s="17"/>
      <c r="V635" s="17"/>
      <c r="W635" s="17"/>
    </row>
    <row r="636">
      <c r="T636" s="17"/>
      <c r="U636" s="17"/>
      <c r="V636" s="17"/>
      <c r="W636" s="17"/>
    </row>
    <row r="637">
      <c r="T637" s="17"/>
      <c r="U637" s="17"/>
      <c r="V637" s="17"/>
      <c r="W637" s="17"/>
    </row>
    <row r="638">
      <c r="T638" s="17"/>
      <c r="U638" s="17"/>
      <c r="V638" s="17"/>
      <c r="W638" s="17"/>
    </row>
    <row r="639">
      <c r="T639" s="17"/>
      <c r="U639" s="17"/>
      <c r="V639" s="17"/>
      <c r="W639" s="17"/>
    </row>
    <row r="640">
      <c r="T640" s="17"/>
      <c r="U640" s="17"/>
      <c r="V640" s="17"/>
      <c r="W640" s="17"/>
    </row>
    <row r="641">
      <c r="T641" s="17"/>
      <c r="U641" s="17"/>
      <c r="V641" s="17"/>
      <c r="W641" s="17"/>
    </row>
    <row r="642">
      <c r="T642" s="17"/>
      <c r="U642" s="17"/>
      <c r="V642" s="17"/>
      <c r="W642" s="17"/>
    </row>
    <row r="643">
      <c r="T643" s="17"/>
      <c r="U643" s="17"/>
      <c r="V643" s="17"/>
      <c r="W643" s="17"/>
    </row>
    <row r="644">
      <c r="T644" s="17"/>
      <c r="U644" s="17"/>
      <c r="V644" s="17"/>
      <c r="W644" s="17"/>
    </row>
    <row r="645">
      <c r="T645" s="17"/>
      <c r="U645" s="17"/>
      <c r="V645" s="17"/>
      <c r="W645" s="17"/>
    </row>
    <row r="646">
      <c r="T646" s="17"/>
      <c r="U646" s="17"/>
      <c r="V646" s="17"/>
      <c r="W646" s="17"/>
    </row>
    <row r="647">
      <c r="T647" s="17"/>
      <c r="U647" s="17"/>
      <c r="V647" s="17"/>
      <c r="W647" s="17"/>
    </row>
    <row r="648">
      <c r="T648" s="17"/>
      <c r="U648" s="17"/>
      <c r="V648" s="17"/>
      <c r="W648" s="17"/>
    </row>
    <row r="649">
      <c r="T649" s="17"/>
      <c r="U649" s="17"/>
      <c r="V649" s="17"/>
      <c r="W649" s="17"/>
    </row>
    <row r="650">
      <c r="T650" s="17"/>
      <c r="U650" s="17"/>
      <c r="V650" s="17"/>
      <c r="W650" s="17"/>
    </row>
    <row r="651">
      <c r="T651" s="17"/>
      <c r="U651" s="17"/>
      <c r="V651" s="17"/>
      <c r="W651" s="17"/>
    </row>
    <row r="652">
      <c r="T652" s="17"/>
      <c r="U652" s="17"/>
      <c r="V652" s="17"/>
      <c r="W652" s="17"/>
    </row>
    <row r="653">
      <c r="T653" s="17"/>
      <c r="U653" s="17"/>
      <c r="V653" s="17"/>
      <c r="W653" s="17"/>
    </row>
    <row r="654">
      <c r="T654" s="17"/>
      <c r="U654" s="17"/>
      <c r="V654" s="17"/>
      <c r="W654" s="17"/>
    </row>
    <row r="655">
      <c r="T655" s="17"/>
      <c r="U655" s="17"/>
      <c r="V655" s="17"/>
      <c r="W655" s="17"/>
    </row>
    <row r="656">
      <c r="T656" s="17"/>
      <c r="U656" s="17"/>
      <c r="V656" s="17"/>
      <c r="W656" s="17"/>
    </row>
    <row r="657">
      <c r="T657" s="17"/>
      <c r="U657" s="17"/>
      <c r="V657" s="17"/>
      <c r="W657" s="17"/>
    </row>
    <row r="658">
      <c r="T658" s="17"/>
      <c r="U658" s="17"/>
      <c r="V658" s="17"/>
      <c r="W658" s="17"/>
    </row>
    <row r="659">
      <c r="T659" s="17"/>
      <c r="U659" s="17"/>
      <c r="V659" s="17"/>
      <c r="W659" s="17"/>
    </row>
    <row r="660">
      <c r="T660" s="17"/>
      <c r="U660" s="17"/>
      <c r="V660" s="17"/>
      <c r="W660" s="17"/>
    </row>
    <row r="661">
      <c r="T661" s="17"/>
      <c r="U661" s="17"/>
      <c r="V661" s="17"/>
      <c r="W661" s="17"/>
    </row>
    <row r="662">
      <c r="T662" s="17"/>
      <c r="U662" s="17"/>
      <c r="V662" s="17"/>
      <c r="W662" s="17"/>
    </row>
    <row r="663">
      <c r="T663" s="17"/>
      <c r="U663" s="17"/>
      <c r="V663" s="17"/>
      <c r="W663" s="17"/>
    </row>
    <row r="664">
      <c r="T664" s="17"/>
      <c r="U664" s="17"/>
      <c r="V664" s="17"/>
      <c r="W664" s="17"/>
    </row>
    <row r="665">
      <c r="T665" s="17"/>
      <c r="U665" s="17"/>
      <c r="V665" s="17"/>
      <c r="W665" s="17"/>
    </row>
    <row r="666">
      <c r="T666" s="17"/>
      <c r="U666" s="17"/>
      <c r="V666" s="17"/>
      <c r="W666" s="17"/>
    </row>
    <row r="667">
      <c r="T667" s="17"/>
      <c r="U667" s="17"/>
      <c r="V667" s="17"/>
      <c r="W667" s="17"/>
    </row>
    <row r="668">
      <c r="T668" s="17"/>
      <c r="U668" s="17"/>
      <c r="V668" s="17"/>
      <c r="W668" s="17"/>
    </row>
    <row r="669">
      <c r="T669" s="17"/>
      <c r="U669" s="17"/>
      <c r="V669" s="17"/>
      <c r="W669" s="17"/>
    </row>
    <row r="670">
      <c r="T670" s="17"/>
      <c r="U670" s="17"/>
      <c r="V670" s="17"/>
      <c r="W670" s="17"/>
    </row>
    <row r="671">
      <c r="T671" s="17"/>
      <c r="U671" s="17"/>
      <c r="V671" s="17"/>
      <c r="W671" s="17"/>
    </row>
    <row r="672">
      <c r="T672" s="17"/>
      <c r="U672" s="17"/>
      <c r="V672" s="17"/>
      <c r="W672" s="17"/>
    </row>
    <row r="673">
      <c r="T673" s="17"/>
      <c r="U673" s="17"/>
      <c r="V673" s="17"/>
      <c r="W673" s="17"/>
    </row>
    <row r="674">
      <c r="T674" s="17"/>
      <c r="U674" s="17"/>
      <c r="V674" s="17"/>
      <c r="W674" s="17"/>
    </row>
    <row r="675">
      <c r="T675" s="17"/>
      <c r="U675" s="17"/>
      <c r="V675" s="17"/>
      <c r="W675" s="17"/>
    </row>
    <row r="676">
      <c r="T676" s="17"/>
      <c r="U676" s="17"/>
      <c r="V676" s="17"/>
      <c r="W676" s="17"/>
    </row>
    <row r="677">
      <c r="T677" s="17"/>
      <c r="U677" s="17"/>
      <c r="V677" s="17"/>
      <c r="W677" s="17"/>
    </row>
    <row r="678">
      <c r="T678" s="17"/>
      <c r="U678" s="17"/>
      <c r="V678" s="17"/>
      <c r="W678" s="17"/>
    </row>
    <row r="679">
      <c r="T679" s="17"/>
      <c r="U679" s="17"/>
      <c r="V679" s="17"/>
      <c r="W679" s="17"/>
    </row>
    <row r="680">
      <c r="T680" s="17"/>
      <c r="U680" s="17"/>
      <c r="V680" s="17"/>
      <c r="W680" s="17"/>
    </row>
    <row r="681">
      <c r="T681" s="17"/>
      <c r="U681" s="17"/>
      <c r="V681" s="17"/>
      <c r="W681" s="17"/>
    </row>
    <row r="682">
      <c r="T682" s="17"/>
      <c r="U682" s="17"/>
      <c r="V682" s="17"/>
      <c r="W682" s="17"/>
    </row>
    <row r="683">
      <c r="T683" s="17"/>
      <c r="U683" s="17"/>
      <c r="V683" s="17"/>
      <c r="W683" s="17"/>
    </row>
    <row r="684">
      <c r="T684" s="17"/>
      <c r="U684" s="17"/>
      <c r="V684" s="17"/>
      <c r="W684" s="17"/>
    </row>
    <row r="685">
      <c r="T685" s="17"/>
      <c r="U685" s="17"/>
      <c r="V685" s="17"/>
      <c r="W685" s="17"/>
    </row>
    <row r="686">
      <c r="T686" s="17"/>
      <c r="U686" s="17"/>
      <c r="V686" s="17"/>
      <c r="W686" s="17"/>
    </row>
    <row r="687">
      <c r="T687" s="17"/>
      <c r="U687" s="17"/>
      <c r="V687" s="17"/>
      <c r="W687" s="17"/>
    </row>
    <row r="688">
      <c r="T688" s="17"/>
      <c r="U688" s="17"/>
      <c r="V688" s="17"/>
      <c r="W688" s="17"/>
    </row>
    <row r="689">
      <c r="T689" s="17"/>
      <c r="U689" s="17"/>
      <c r="V689" s="17"/>
      <c r="W689" s="17"/>
    </row>
    <row r="690">
      <c r="T690" s="17"/>
      <c r="U690" s="17"/>
      <c r="V690" s="17"/>
      <c r="W690" s="17"/>
    </row>
    <row r="691">
      <c r="T691" s="17"/>
      <c r="U691" s="17"/>
      <c r="V691" s="17"/>
      <c r="W691" s="17"/>
    </row>
    <row r="692">
      <c r="T692" s="17"/>
      <c r="U692" s="17"/>
      <c r="V692" s="17"/>
      <c r="W692" s="17"/>
    </row>
    <row r="693">
      <c r="T693" s="17"/>
      <c r="U693" s="17"/>
      <c r="V693" s="17"/>
      <c r="W693" s="17"/>
    </row>
    <row r="694">
      <c r="T694" s="17"/>
      <c r="U694" s="17"/>
      <c r="V694" s="17"/>
      <c r="W694" s="17"/>
    </row>
    <row r="695">
      <c r="T695" s="17"/>
      <c r="U695" s="17"/>
      <c r="V695" s="17"/>
      <c r="W695" s="17"/>
    </row>
    <row r="696">
      <c r="T696" s="17"/>
      <c r="U696" s="17"/>
      <c r="V696" s="17"/>
      <c r="W696" s="17"/>
    </row>
    <row r="697">
      <c r="T697" s="17"/>
      <c r="U697" s="17"/>
      <c r="V697" s="17"/>
      <c r="W697" s="17"/>
    </row>
    <row r="698">
      <c r="T698" s="17"/>
      <c r="U698" s="17"/>
      <c r="V698" s="17"/>
      <c r="W698" s="17"/>
    </row>
    <row r="699">
      <c r="T699" s="17"/>
      <c r="U699" s="17"/>
      <c r="V699" s="17"/>
      <c r="W699" s="17"/>
    </row>
    <row r="700">
      <c r="T700" s="17"/>
      <c r="U700" s="17"/>
      <c r="V700" s="17"/>
      <c r="W700" s="17"/>
    </row>
    <row r="701">
      <c r="T701" s="17"/>
      <c r="U701" s="17"/>
      <c r="V701" s="17"/>
      <c r="W701" s="17"/>
    </row>
    <row r="702">
      <c r="T702" s="17"/>
      <c r="U702" s="17"/>
      <c r="V702" s="17"/>
      <c r="W702" s="17"/>
    </row>
    <row r="703">
      <c r="T703" s="17"/>
      <c r="U703" s="17"/>
      <c r="V703" s="17"/>
      <c r="W703" s="17"/>
    </row>
    <row r="704">
      <c r="T704" s="17"/>
      <c r="U704" s="17"/>
      <c r="V704" s="17"/>
      <c r="W704" s="17"/>
    </row>
    <row r="705">
      <c r="T705" s="17"/>
      <c r="U705" s="17"/>
      <c r="V705" s="17"/>
      <c r="W705" s="17"/>
    </row>
    <row r="706">
      <c r="T706" s="17"/>
      <c r="U706" s="17"/>
      <c r="V706" s="17"/>
      <c r="W706" s="17"/>
    </row>
    <row r="707">
      <c r="T707" s="17"/>
      <c r="U707" s="17"/>
      <c r="V707" s="17"/>
      <c r="W707" s="17"/>
    </row>
    <row r="708">
      <c r="T708" s="17"/>
      <c r="U708" s="17"/>
      <c r="V708" s="17"/>
      <c r="W708" s="17"/>
    </row>
    <row r="709">
      <c r="T709" s="17"/>
      <c r="U709" s="17"/>
      <c r="V709" s="17"/>
      <c r="W709" s="17"/>
    </row>
    <row r="710">
      <c r="T710" s="17"/>
      <c r="U710" s="17"/>
      <c r="V710" s="17"/>
      <c r="W710" s="17"/>
    </row>
    <row r="711">
      <c r="T711" s="17"/>
      <c r="U711" s="17"/>
      <c r="V711" s="17"/>
      <c r="W711" s="17"/>
    </row>
    <row r="712">
      <c r="T712" s="17"/>
      <c r="U712" s="17"/>
      <c r="V712" s="17"/>
      <c r="W712" s="17"/>
    </row>
    <row r="713">
      <c r="T713" s="17"/>
      <c r="U713" s="17"/>
      <c r="V713" s="17"/>
      <c r="W713" s="17"/>
    </row>
    <row r="714">
      <c r="T714" s="17"/>
      <c r="U714" s="17"/>
      <c r="V714" s="17"/>
      <c r="W714" s="17"/>
    </row>
    <row r="715">
      <c r="T715" s="17"/>
      <c r="U715" s="17"/>
      <c r="V715" s="17"/>
      <c r="W715" s="17"/>
    </row>
    <row r="716">
      <c r="T716" s="17"/>
      <c r="U716" s="17"/>
      <c r="V716" s="17"/>
      <c r="W716" s="17"/>
    </row>
    <row r="717">
      <c r="T717" s="17"/>
      <c r="U717" s="17"/>
      <c r="V717" s="17"/>
      <c r="W717" s="17"/>
    </row>
    <row r="718">
      <c r="T718" s="17"/>
      <c r="U718" s="17"/>
      <c r="V718" s="17"/>
      <c r="W718" s="17"/>
    </row>
    <row r="719">
      <c r="T719" s="17"/>
      <c r="U719" s="17"/>
      <c r="V719" s="17"/>
      <c r="W719" s="17"/>
    </row>
    <row r="720">
      <c r="T720" s="17"/>
      <c r="U720" s="17"/>
      <c r="V720" s="17"/>
      <c r="W720" s="17"/>
    </row>
    <row r="721">
      <c r="T721" s="17"/>
      <c r="U721" s="17"/>
      <c r="V721" s="17"/>
      <c r="W721" s="17"/>
    </row>
    <row r="722">
      <c r="T722" s="17"/>
      <c r="U722" s="17"/>
      <c r="V722" s="17"/>
      <c r="W722" s="17"/>
    </row>
    <row r="723">
      <c r="T723" s="17"/>
      <c r="U723" s="17"/>
      <c r="V723" s="17"/>
      <c r="W723" s="17"/>
    </row>
    <row r="724">
      <c r="T724" s="17"/>
      <c r="U724" s="17"/>
      <c r="V724" s="17"/>
      <c r="W724" s="17"/>
    </row>
    <row r="725">
      <c r="T725" s="17"/>
      <c r="U725" s="17"/>
      <c r="V725" s="17"/>
      <c r="W725" s="17"/>
    </row>
    <row r="726">
      <c r="T726" s="17"/>
      <c r="U726" s="17"/>
      <c r="V726" s="17"/>
      <c r="W726" s="17"/>
    </row>
    <row r="727">
      <c r="T727" s="17"/>
      <c r="U727" s="17"/>
      <c r="V727" s="17"/>
      <c r="W727" s="17"/>
    </row>
    <row r="728">
      <c r="T728" s="17"/>
      <c r="U728" s="17"/>
      <c r="V728" s="17"/>
      <c r="W728" s="17"/>
    </row>
    <row r="729">
      <c r="T729" s="17"/>
      <c r="U729" s="17"/>
      <c r="V729" s="17"/>
      <c r="W729" s="17"/>
    </row>
    <row r="730">
      <c r="T730" s="17"/>
      <c r="U730" s="17"/>
      <c r="V730" s="17"/>
      <c r="W730" s="17"/>
    </row>
    <row r="731">
      <c r="T731" s="17"/>
      <c r="U731" s="17"/>
      <c r="V731" s="17"/>
      <c r="W731" s="17"/>
    </row>
    <row r="732">
      <c r="T732" s="17"/>
      <c r="U732" s="17"/>
      <c r="V732" s="17"/>
      <c r="W732" s="17"/>
    </row>
    <row r="733">
      <c r="T733" s="17"/>
      <c r="U733" s="17"/>
      <c r="V733" s="17"/>
      <c r="W733" s="17"/>
    </row>
    <row r="734">
      <c r="T734" s="17"/>
      <c r="U734" s="17"/>
      <c r="V734" s="17"/>
      <c r="W734" s="17"/>
    </row>
    <row r="735">
      <c r="T735" s="17"/>
      <c r="U735" s="17"/>
      <c r="V735" s="17"/>
      <c r="W735" s="17"/>
    </row>
    <row r="736">
      <c r="T736" s="17"/>
      <c r="U736" s="17"/>
      <c r="V736" s="17"/>
      <c r="W736" s="17"/>
    </row>
    <row r="737">
      <c r="T737" s="17"/>
      <c r="U737" s="17"/>
      <c r="V737" s="17"/>
      <c r="W737" s="17"/>
    </row>
    <row r="738">
      <c r="T738" s="17"/>
      <c r="U738" s="17"/>
      <c r="V738" s="17"/>
      <c r="W738" s="17"/>
    </row>
    <row r="739">
      <c r="T739" s="17"/>
      <c r="U739" s="17"/>
      <c r="V739" s="17"/>
      <c r="W739" s="17"/>
    </row>
    <row r="740">
      <c r="T740" s="17"/>
      <c r="U740" s="17"/>
      <c r="V740" s="17"/>
      <c r="W740" s="17"/>
    </row>
    <row r="741">
      <c r="T741" s="17"/>
      <c r="U741" s="17"/>
      <c r="V741" s="17"/>
      <c r="W741" s="17"/>
    </row>
    <row r="742">
      <c r="T742" s="17"/>
      <c r="U742" s="17"/>
      <c r="V742" s="17"/>
      <c r="W742" s="17"/>
    </row>
    <row r="743">
      <c r="T743" s="17"/>
      <c r="U743" s="17"/>
      <c r="V743" s="17"/>
      <c r="W743" s="17"/>
    </row>
    <row r="744">
      <c r="T744" s="17"/>
      <c r="U744" s="17"/>
      <c r="V744" s="17"/>
      <c r="W744" s="17"/>
    </row>
    <row r="745">
      <c r="T745" s="17"/>
      <c r="U745" s="17"/>
      <c r="V745" s="17"/>
      <c r="W745" s="17"/>
    </row>
    <row r="746">
      <c r="T746" s="17"/>
      <c r="U746" s="17"/>
      <c r="V746" s="17"/>
      <c r="W746" s="17"/>
    </row>
    <row r="747">
      <c r="T747" s="17"/>
      <c r="U747" s="17"/>
      <c r="V747" s="17"/>
      <c r="W747" s="17"/>
    </row>
    <row r="748">
      <c r="T748" s="17"/>
      <c r="U748" s="17"/>
      <c r="V748" s="17"/>
      <c r="W748" s="17"/>
    </row>
    <row r="749">
      <c r="T749" s="17"/>
      <c r="U749" s="17"/>
      <c r="V749" s="17"/>
      <c r="W749" s="17"/>
    </row>
    <row r="750">
      <c r="T750" s="17"/>
      <c r="U750" s="17"/>
      <c r="V750" s="17"/>
      <c r="W750" s="17"/>
    </row>
    <row r="751">
      <c r="T751" s="17"/>
      <c r="U751" s="17"/>
      <c r="V751" s="17"/>
      <c r="W751" s="17"/>
    </row>
    <row r="752">
      <c r="T752" s="17"/>
      <c r="U752" s="17"/>
      <c r="V752" s="17"/>
      <c r="W752" s="17"/>
    </row>
    <row r="753">
      <c r="T753" s="17"/>
      <c r="U753" s="17"/>
      <c r="V753" s="17"/>
      <c r="W753" s="17"/>
    </row>
    <row r="754">
      <c r="T754" s="17"/>
      <c r="U754" s="17"/>
      <c r="V754" s="17"/>
      <c r="W754" s="17"/>
    </row>
    <row r="755">
      <c r="T755" s="17"/>
      <c r="U755" s="17"/>
      <c r="V755" s="17"/>
      <c r="W755" s="17"/>
    </row>
    <row r="756">
      <c r="T756" s="17"/>
      <c r="U756" s="17"/>
      <c r="V756" s="17"/>
      <c r="W756" s="17"/>
    </row>
    <row r="757">
      <c r="T757" s="17"/>
      <c r="U757" s="17"/>
      <c r="V757" s="17"/>
      <c r="W757" s="17"/>
    </row>
    <row r="758">
      <c r="T758" s="17"/>
      <c r="U758" s="17"/>
      <c r="V758" s="17"/>
      <c r="W758" s="17"/>
    </row>
    <row r="759">
      <c r="T759" s="17"/>
      <c r="U759" s="17"/>
      <c r="V759" s="17"/>
      <c r="W759" s="17"/>
    </row>
    <row r="760">
      <c r="T760" s="17"/>
      <c r="U760" s="17"/>
      <c r="V760" s="17"/>
      <c r="W760" s="17"/>
    </row>
    <row r="761">
      <c r="T761" s="17"/>
      <c r="U761" s="17"/>
      <c r="V761" s="17"/>
      <c r="W761" s="17"/>
    </row>
    <row r="762">
      <c r="T762" s="17"/>
      <c r="U762" s="17"/>
      <c r="V762" s="17"/>
      <c r="W762" s="17"/>
    </row>
    <row r="763">
      <c r="T763" s="17"/>
      <c r="U763" s="17"/>
      <c r="V763" s="17"/>
      <c r="W763" s="17"/>
    </row>
    <row r="764">
      <c r="T764" s="17"/>
      <c r="U764" s="17"/>
      <c r="V764" s="17"/>
      <c r="W764" s="17"/>
    </row>
    <row r="765">
      <c r="T765" s="17"/>
      <c r="U765" s="17"/>
      <c r="V765" s="17"/>
      <c r="W765" s="17"/>
    </row>
    <row r="766">
      <c r="T766" s="17"/>
      <c r="U766" s="17"/>
      <c r="V766" s="17"/>
      <c r="W766" s="17"/>
    </row>
    <row r="767">
      <c r="T767" s="17"/>
      <c r="U767" s="17"/>
      <c r="V767" s="17"/>
      <c r="W767" s="17"/>
    </row>
    <row r="768">
      <c r="T768" s="17"/>
      <c r="U768" s="17"/>
      <c r="V768" s="17"/>
      <c r="W768" s="17"/>
    </row>
    <row r="769">
      <c r="T769" s="17"/>
      <c r="U769" s="17"/>
      <c r="V769" s="17"/>
      <c r="W769" s="17"/>
    </row>
    <row r="770">
      <c r="T770" s="17"/>
      <c r="U770" s="17"/>
      <c r="V770" s="17"/>
      <c r="W770" s="17"/>
    </row>
    <row r="771">
      <c r="T771" s="17"/>
      <c r="U771" s="17"/>
      <c r="V771" s="17"/>
      <c r="W771" s="17"/>
    </row>
    <row r="772">
      <c r="T772" s="17"/>
      <c r="U772" s="17"/>
      <c r="V772" s="17"/>
      <c r="W772" s="17"/>
    </row>
    <row r="773">
      <c r="T773" s="17"/>
      <c r="U773" s="17"/>
      <c r="V773" s="17"/>
      <c r="W773" s="17"/>
    </row>
    <row r="774">
      <c r="T774" s="17"/>
      <c r="U774" s="17"/>
      <c r="V774" s="17"/>
      <c r="W774" s="17"/>
    </row>
    <row r="775">
      <c r="T775" s="17"/>
      <c r="U775" s="17"/>
      <c r="V775" s="17"/>
      <c r="W775" s="17"/>
    </row>
    <row r="776">
      <c r="T776" s="17"/>
      <c r="U776" s="17"/>
      <c r="V776" s="17"/>
      <c r="W776" s="17"/>
    </row>
    <row r="777">
      <c r="T777" s="17"/>
      <c r="U777" s="17"/>
      <c r="V777" s="17"/>
      <c r="W777" s="17"/>
    </row>
    <row r="778">
      <c r="T778" s="17"/>
      <c r="U778" s="17"/>
      <c r="V778" s="17"/>
      <c r="W778" s="17"/>
    </row>
    <row r="779">
      <c r="T779" s="17"/>
      <c r="U779" s="17"/>
      <c r="V779" s="17"/>
      <c r="W779" s="17"/>
    </row>
    <row r="780">
      <c r="T780" s="17"/>
      <c r="U780" s="17"/>
      <c r="V780" s="17"/>
      <c r="W780" s="17"/>
    </row>
    <row r="781">
      <c r="T781" s="17"/>
      <c r="U781" s="17"/>
      <c r="V781" s="17"/>
      <c r="W781" s="17"/>
    </row>
    <row r="782">
      <c r="T782" s="17"/>
      <c r="U782" s="17"/>
      <c r="V782" s="17"/>
      <c r="W782" s="17"/>
    </row>
    <row r="783">
      <c r="T783" s="17"/>
      <c r="U783" s="17"/>
      <c r="V783" s="17"/>
      <c r="W783" s="17"/>
    </row>
    <row r="784">
      <c r="T784" s="17"/>
      <c r="U784" s="17"/>
      <c r="V784" s="17"/>
      <c r="W784" s="17"/>
    </row>
    <row r="785">
      <c r="T785" s="17"/>
      <c r="U785" s="17"/>
      <c r="V785" s="17"/>
      <c r="W785" s="17"/>
    </row>
    <row r="786">
      <c r="T786" s="17"/>
      <c r="U786" s="17"/>
      <c r="V786" s="17"/>
      <c r="W786" s="17"/>
    </row>
    <row r="787">
      <c r="T787" s="17"/>
      <c r="U787" s="17"/>
      <c r="V787" s="17"/>
      <c r="W787" s="17"/>
    </row>
    <row r="788">
      <c r="T788" s="17"/>
      <c r="U788" s="17"/>
      <c r="V788" s="17"/>
      <c r="W788" s="17"/>
    </row>
    <row r="789">
      <c r="T789" s="17"/>
      <c r="U789" s="17"/>
      <c r="V789" s="17"/>
      <c r="W789" s="17"/>
    </row>
    <row r="790">
      <c r="T790" s="17"/>
      <c r="U790" s="17"/>
      <c r="V790" s="17"/>
      <c r="W790" s="17"/>
    </row>
    <row r="791">
      <c r="T791" s="17"/>
      <c r="U791" s="17"/>
      <c r="V791" s="17"/>
      <c r="W791" s="17"/>
    </row>
    <row r="792">
      <c r="T792" s="17"/>
      <c r="U792" s="17"/>
      <c r="V792" s="17"/>
      <c r="W792" s="17"/>
    </row>
    <row r="793">
      <c r="T793" s="17"/>
      <c r="U793" s="17"/>
      <c r="V793" s="17"/>
      <c r="W793" s="17"/>
    </row>
    <row r="794">
      <c r="T794" s="17"/>
      <c r="U794" s="17"/>
      <c r="V794" s="17"/>
      <c r="W794" s="17"/>
    </row>
    <row r="795">
      <c r="T795" s="17"/>
      <c r="U795" s="17"/>
      <c r="V795" s="17"/>
      <c r="W795" s="17"/>
    </row>
    <row r="796">
      <c r="T796" s="17"/>
      <c r="U796" s="17"/>
      <c r="V796" s="17"/>
      <c r="W796" s="17"/>
    </row>
    <row r="797">
      <c r="T797" s="17"/>
      <c r="U797" s="17"/>
      <c r="V797" s="17"/>
      <c r="W797" s="17"/>
    </row>
    <row r="798">
      <c r="T798" s="17"/>
      <c r="U798" s="17"/>
      <c r="V798" s="17"/>
      <c r="W798" s="17"/>
    </row>
    <row r="799">
      <c r="T799" s="17"/>
      <c r="U799" s="17"/>
      <c r="V799" s="17"/>
      <c r="W799" s="17"/>
    </row>
    <row r="800">
      <c r="T800" s="17"/>
      <c r="U800" s="17"/>
      <c r="V800" s="17"/>
      <c r="W800" s="17"/>
    </row>
    <row r="801">
      <c r="T801" s="17"/>
      <c r="U801" s="17"/>
      <c r="V801" s="17"/>
      <c r="W801" s="17"/>
    </row>
    <row r="802">
      <c r="T802" s="17"/>
      <c r="U802" s="17"/>
      <c r="V802" s="17"/>
      <c r="W802" s="17"/>
    </row>
    <row r="803">
      <c r="T803" s="17"/>
      <c r="U803" s="17"/>
      <c r="V803" s="17"/>
      <c r="W803" s="17"/>
    </row>
    <row r="804">
      <c r="T804" s="17"/>
      <c r="U804" s="17"/>
      <c r="V804" s="17"/>
      <c r="W804" s="17"/>
    </row>
    <row r="805">
      <c r="T805" s="17"/>
      <c r="U805" s="17"/>
      <c r="V805" s="17"/>
      <c r="W805" s="17"/>
    </row>
    <row r="806">
      <c r="T806" s="17"/>
      <c r="U806" s="17"/>
      <c r="V806" s="17"/>
      <c r="W806" s="17"/>
    </row>
    <row r="807">
      <c r="T807" s="17"/>
      <c r="U807" s="17"/>
      <c r="V807" s="17"/>
      <c r="W807" s="17"/>
    </row>
    <row r="808">
      <c r="T808" s="17"/>
      <c r="U808" s="17"/>
      <c r="V808" s="17"/>
      <c r="W808" s="17"/>
    </row>
    <row r="809">
      <c r="T809" s="17"/>
      <c r="U809" s="17"/>
      <c r="V809" s="17"/>
      <c r="W809" s="17"/>
    </row>
    <row r="810">
      <c r="T810" s="17"/>
      <c r="U810" s="17"/>
      <c r="V810" s="17"/>
      <c r="W810" s="17"/>
    </row>
    <row r="811">
      <c r="T811" s="17"/>
      <c r="U811" s="17"/>
      <c r="V811" s="17"/>
      <c r="W811" s="17"/>
    </row>
    <row r="812">
      <c r="T812" s="17"/>
      <c r="U812" s="17"/>
      <c r="V812" s="17"/>
      <c r="W812" s="17"/>
    </row>
    <row r="813">
      <c r="T813" s="17"/>
      <c r="U813" s="17"/>
      <c r="V813" s="17"/>
      <c r="W813" s="17"/>
    </row>
    <row r="814">
      <c r="T814" s="17"/>
      <c r="U814" s="17"/>
      <c r="V814" s="17"/>
      <c r="W814" s="17"/>
    </row>
    <row r="815">
      <c r="T815" s="17"/>
      <c r="U815" s="17"/>
      <c r="V815" s="17"/>
      <c r="W815" s="17"/>
    </row>
    <row r="816">
      <c r="T816" s="17"/>
      <c r="U816" s="17"/>
      <c r="V816" s="17"/>
      <c r="W816" s="17"/>
    </row>
    <row r="817">
      <c r="T817" s="17"/>
      <c r="U817" s="17"/>
      <c r="V817" s="17"/>
      <c r="W817" s="17"/>
    </row>
    <row r="818">
      <c r="T818" s="17"/>
      <c r="U818" s="17"/>
      <c r="V818" s="17"/>
      <c r="W818" s="17"/>
    </row>
    <row r="819">
      <c r="T819" s="17"/>
      <c r="U819" s="17"/>
      <c r="V819" s="17"/>
      <c r="W819" s="17"/>
    </row>
    <row r="820">
      <c r="T820" s="17"/>
      <c r="U820" s="17"/>
      <c r="V820" s="17"/>
      <c r="W820" s="17"/>
    </row>
    <row r="821">
      <c r="T821" s="17"/>
      <c r="U821" s="17"/>
      <c r="V821" s="17"/>
      <c r="W821" s="17"/>
    </row>
    <row r="822">
      <c r="T822" s="17"/>
      <c r="U822" s="17"/>
      <c r="V822" s="17"/>
      <c r="W822" s="17"/>
    </row>
    <row r="823">
      <c r="T823" s="17"/>
      <c r="U823" s="17"/>
      <c r="V823" s="17"/>
      <c r="W823" s="17"/>
    </row>
    <row r="824">
      <c r="T824" s="17"/>
      <c r="U824" s="17"/>
      <c r="V824" s="17"/>
      <c r="W824" s="17"/>
    </row>
    <row r="825">
      <c r="T825" s="17"/>
      <c r="U825" s="17"/>
      <c r="V825" s="17"/>
      <c r="W825" s="17"/>
    </row>
    <row r="826">
      <c r="T826" s="17"/>
      <c r="U826" s="17"/>
      <c r="V826" s="17"/>
      <c r="W826" s="17"/>
    </row>
    <row r="827">
      <c r="T827" s="17"/>
      <c r="U827" s="17"/>
      <c r="V827" s="17"/>
      <c r="W827" s="17"/>
    </row>
    <row r="828">
      <c r="T828" s="17"/>
      <c r="U828" s="17"/>
      <c r="V828" s="17"/>
      <c r="W828" s="17"/>
    </row>
    <row r="829">
      <c r="T829" s="17"/>
      <c r="U829" s="17"/>
      <c r="V829" s="17"/>
      <c r="W829" s="17"/>
    </row>
    <row r="830">
      <c r="T830" s="17"/>
      <c r="U830" s="17"/>
      <c r="V830" s="17"/>
      <c r="W830" s="17"/>
    </row>
    <row r="831">
      <c r="T831" s="17"/>
      <c r="U831" s="17"/>
      <c r="V831" s="17"/>
      <c r="W831" s="17"/>
    </row>
    <row r="832">
      <c r="T832" s="17"/>
      <c r="U832" s="17"/>
      <c r="V832" s="17"/>
      <c r="W832" s="17"/>
    </row>
    <row r="833">
      <c r="T833" s="17"/>
      <c r="U833" s="17"/>
      <c r="V833" s="17"/>
      <c r="W833" s="17"/>
    </row>
    <row r="834">
      <c r="T834" s="17"/>
      <c r="U834" s="17"/>
      <c r="V834" s="17"/>
      <c r="W834" s="17"/>
    </row>
    <row r="835">
      <c r="T835" s="17"/>
      <c r="U835" s="17"/>
      <c r="V835" s="17"/>
      <c r="W835" s="17"/>
    </row>
    <row r="836">
      <c r="T836" s="17"/>
      <c r="U836" s="17"/>
      <c r="V836" s="17"/>
      <c r="W836" s="17"/>
    </row>
    <row r="837">
      <c r="T837" s="17"/>
      <c r="U837" s="17"/>
      <c r="V837" s="17"/>
      <c r="W837" s="17"/>
    </row>
    <row r="838">
      <c r="T838" s="17"/>
      <c r="U838" s="17"/>
      <c r="V838" s="17"/>
      <c r="W838" s="17"/>
    </row>
    <row r="839">
      <c r="T839" s="17"/>
      <c r="U839" s="17"/>
      <c r="V839" s="17"/>
      <c r="W839" s="17"/>
    </row>
    <row r="840">
      <c r="T840" s="17"/>
      <c r="U840" s="17"/>
      <c r="V840" s="17"/>
      <c r="W840" s="17"/>
    </row>
    <row r="841">
      <c r="T841" s="17"/>
      <c r="U841" s="17"/>
      <c r="V841" s="17"/>
      <c r="W841" s="17"/>
    </row>
    <row r="842">
      <c r="T842" s="17"/>
      <c r="U842" s="17"/>
      <c r="V842" s="17"/>
      <c r="W842" s="17"/>
    </row>
    <row r="843">
      <c r="T843" s="17"/>
      <c r="U843" s="17"/>
      <c r="V843" s="17"/>
      <c r="W843" s="17"/>
    </row>
    <row r="844">
      <c r="T844" s="17"/>
      <c r="U844" s="17"/>
      <c r="V844" s="17"/>
      <c r="W844" s="17"/>
    </row>
    <row r="845">
      <c r="T845" s="17"/>
      <c r="U845" s="17"/>
      <c r="V845" s="17"/>
      <c r="W845" s="17"/>
    </row>
    <row r="846">
      <c r="T846" s="17"/>
      <c r="U846" s="17"/>
      <c r="V846" s="17"/>
      <c r="W846" s="17"/>
    </row>
    <row r="847">
      <c r="T847" s="17"/>
      <c r="U847" s="17"/>
      <c r="V847" s="17"/>
      <c r="W847" s="17"/>
    </row>
    <row r="848">
      <c r="T848" s="17"/>
      <c r="U848" s="17"/>
      <c r="V848" s="17"/>
      <c r="W848" s="17"/>
    </row>
    <row r="849">
      <c r="T849" s="17"/>
      <c r="U849" s="17"/>
      <c r="V849" s="17"/>
      <c r="W849" s="17"/>
    </row>
    <row r="850">
      <c r="T850" s="17"/>
      <c r="U850" s="17"/>
      <c r="V850" s="17"/>
      <c r="W850" s="17"/>
    </row>
    <row r="851">
      <c r="T851" s="17"/>
      <c r="U851" s="17"/>
      <c r="V851" s="17"/>
      <c r="W851" s="17"/>
    </row>
    <row r="852">
      <c r="T852" s="17"/>
      <c r="U852" s="17"/>
      <c r="V852" s="17"/>
      <c r="W852" s="17"/>
    </row>
    <row r="853">
      <c r="T853" s="17"/>
      <c r="U853" s="17"/>
      <c r="V853" s="17"/>
      <c r="W853" s="17"/>
    </row>
    <row r="854">
      <c r="T854" s="17"/>
      <c r="U854" s="17"/>
      <c r="V854" s="17"/>
      <c r="W854" s="17"/>
    </row>
    <row r="855">
      <c r="T855" s="17"/>
      <c r="U855" s="17"/>
      <c r="V855" s="17"/>
      <c r="W855" s="17"/>
    </row>
    <row r="856">
      <c r="T856" s="17"/>
      <c r="U856" s="17"/>
      <c r="V856" s="17"/>
      <c r="W856" s="17"/>
    </row>
    <row r="857">
      <c r="T857" s="17"/>
      <c r="U857" s="17"/>
      <c r="V857" s="17"/>
      <c r="W857" s="17"/>
    </row>
    <row r="858">
      <c r="T858" s="17"/>
      <c r="U858" s="17"/>
      <c r="V858" s="17"/>
      <c r="W858" s="17"/>
    </row>
    <row r="859">
      <c r="T859" s="17"/>
      <c r="U859" s="17"/>
      <c r="V859" s="17"/>
      <c r="W859" s="17"/>
    </row>
    <row r="860">
      <c r="T860" s="17"/>
      <c r="U860" s="17"/>
      <c r="V860" s="17"/>
      <c r="W860" s="17"/>
    </row>
    <row r="861">
      <c r="T861" s="17"/>
      <c r="U861" s="17"/>
      <c r="V861" s="17"/>
      <c r="W861" s="17"/>
    </row>
    <row r="862">
      <c r="T862" s="17"/>
      <c r="U862" s="17"/>
      <c r="V862" s="17"/>
      <c r="W862" s="17"/>
    </row>
    <row r="863">
      <c r="T863" s="17"/>
      <c r="U863" s="17"/>
      <c r="V863" s="17"/>
      <c r="W863" s="17"/>
    </row>
    <row r="864">
      <c r="T864" s="17"/>
      <c r="U864" s="17"/>
      <c r="V864" s="17"/>
      <c r="W864" s="17"/>
    </row>
    <row r="865">
      <c r="T865" s="17"/>
      <c r="U865" s="17"/>
      <c r="V865" s="17"/>
      <c r="W865" s="17"/>
    </row>
    <row r="866">
      <c r="T866" s="17"/>
      <c r="U866" s="17"/>
      <c r="V866" s="17"/>
      <c r="W866" s="17"/>
    </row>
    <row r="867">
      <c r="T867" s="17"/>
      <c r="U867" s="17"/>
      <c r="V867" s="17"/>
      <c r="W867" s="17"/>
    </row>
    <row r="868">
      <c r="T868" s="17"/>
      <c r="U868" s="17"/>
      <c r="V868" s="17"/>
      <c r="W868" s="17"/>
    </row>
    <row r="869">
      <c r="T869" s="17"/>
      <c r="U869" s="17"/>
      <c r="V869" s="17"/>
      <c r="W869" s="17"/>
    </row>
    <row r="870">
      <c r="T870" s="17"/>
      <c r="U870" s="17"/>
      <c r="V870" s="17"/>
      <c r="W870" s="17"/>
    </row>
    <row r="871">
      <c r="T871" s="17"/>
      <c r="U871" s="17"/>
      <c r="V871" s="17"/>
      <c r="W871" s="17"/>
    </row>
    <row r="872">
      <c r="T872" s="17"/>
      <c r="U872" s="17"/>
      <c r="V872" s="17"/>
      <c r="W872" s="17"/>
    </row>
    <row r="873">
      <c r="T873" s="17"/>
      <c r="U873" s="17"/>
      <c r="V873" s="17"/>
      <c r="W873" s="17"/>
    </row>
    <row r="874">
      <c r="T874" s="17"/>
      <c r="U874" s="17"/>
      <c r="V874" s="17"/>
      <c r="W874" s="17"/>
    </row>
    <row r="875">
      <c r="T875" s="17"/>
      <c r="U875" s="17"/>
      <c r="V875" s="17"/>
      <c r="W875" s="17"/>
    </row>
    <row r="876">
      <c r="T876" s="17"/>
      <c r="U876" s="17"/>
      <c r="V876" s="17"/>
      <c r="W876" s="17"/>
    </row>
    <row r="877">
      <c r="T877" s="17"/>
      <c r="U877" s="17"/>
      <c r="V877" s="17"/>
      <c r="W877" s="17"/>
    </row>
    <row r="878">
      <c r="T878" s="17"/>
      <c r="U878" s="17"/>
      <c r="V878" s="17"/>
      <c r="W878" s="17"/>
    </row>
    <row r="879">
      <c r="T879" s="17"/>
      <c r="U879" s="17"/>
      <c r="V879" s="17"/>
      <c r="W879" s="17"/>
    </row>
    <row r="880">
      <c r="T880" s="17"/>
      <c r="U880" s="17"/>
      <c r="V880" s="17"/>
      <c r="W880" s="17"/>
    </row>
    <row r="881">
      <c r="T881" s="17"/>
      <c r="U881" s="17"/>
      <c r="V881" s="17"/>
      <c r="W881" s="17"/>
    </row>
    <row r="882">
      <c r="T882" s="17"/>
      <c r="U882" s="17"/>
      <c r="V882" s="17"/>
      <c r="W882" s="17"/>
    </row>
    <row r="883">
      <c r="T883" s="17"/>
      <c r="U883" s="17"/>
      <c r="V883" s="17"/>
      <c r="W883" s="17"/>
    </row>
    <row r="884">
      <c r="T884" s="17"/>
      <c r="U884" s="17"/>
      <c r="V884" s="17"/>
      <c r="W884" s="17"/>
    </row>
    <row r="885">
      <c r="T885" s="17"/>
      <c r="U885" s="17"/>
      <c r="V885" s="17"/>
      <c r="W885" s="17"/>
    </row>
    <row r="886">
      <c r="T886" s="17"/>
      <c r="U886" s="17"/>
      <c r="V886" s="17"/>
      <c r="W886" s="17"/>
    </row>
    <row r="887">
      <c r="T887" s="17"/>
      <c r="U887" s="17"/>
      <c r="V887" s="17"/>
      <c r="W887" s="17"/>
    </row>
    <row r="888">
      <c r="T888" s="17"/>
      <c r="U888" s="17"/>
      <c r="V888" s="17"/>
      <c r="W888" s="17"/>
    </row>
    <row r="889">
      <c r="T889" s="17"/>
      <c r="U889" s="17"/>
      <c r="V889" s="17"/>
      <c r="W889" s="17"/>
    </row>
    <row r="890">
      <c r="T890" s="17"/>
      <c r="U890" s="17"/>
      <c r="V890" s="17"/>
      <c r="W890" s="17"/>
    </row>
    <row r="891">
      <c r="T891" s="17"/>
      <c r="U891" s="17"/>
      <c r="V891" s="17"/>
      <c r="W891" s="17"/>
    </row>
    <row r="892">
      <c r="T892" s="17"/>
      <c r="U892" s="17"/>
      <c r="V892" s="17"/>
      <c r="W892" s="17"/>
    </row>
    <row r="893">
      <c r="T893" s="17"/>
      <c r="U893" s="17"/>
      <c r="V893" s="17"/>
      <c r="W893" s="17"/>
    </row>
    <row r="894">
      <c r="T894" s="17"/>
      <c r="U894" s="17"/>
      <c r="V894" s="17"/>
      <c r="W894" s="17"/>
    </row>
    <row r="895">
      <c r="T895" s="17"/>
      <c r="U895" s="17"/>
      <c r="V895" s="17"/>
      <c r="W895" s="17"/>
    </row>
    <row r="896">
      <c r="T896" s="17"/>
      <c r="U896" s="17"/>
      <c r="V896" s="17"/>
      <c r="W896" s="17"/>
    </row>
    <row r="897">
      <c r="T897" s="17"/>
      <c r="U897" s="17"/>
      <c r="V897" s="17"/>
      <c r="W897" s="17"/>
    </row>
    <row r="898">
      <c r="T898" s="17"/>
      <c r="U898" s="17"/>
      <c r="V898" s="17"/>
      <c r="W898" s="17"/>
    </row>
    <row r="899">
      <c r="T899" s="17"/>
      <c r="U899" s="17"/>
      <c r="V899" s="17"/>
      <c r="W899" s="17"/>
    </row>
    <row r="900">
      <c r="T900" s="17"/>
      <c r="U900" s="17"/>
      <c r="V900" s="17"/>
      <c r="W900" s="17"/>
    </row>
    <row r="901">
      <c r="T901" s="17"/>
      <c r="U901" s="17"/>
      <c r="V901" s="17"/>
      <c r="W901" s="17"/>
    </row>
    <row r="902">
      <c r="T902" s="17"/>
      <c r="U902" s="17"/>
      <c r="V902" s="17"/>
      <c r="W902" s="17"/>
    </row>
    <row r="903">
      <c r="T903" s="17"/>
      <c r="U903" s="17"/>
      <c r="V903" s="17"/>
      <c r="W903" s="17"/>
    </row>
    <row r="904">
      <c r="T904" s="17"/>
      <c r="U904" s="17"/>
      <c r="V904" s="17"/>
      <c r="W904" s="17"/>
    </row>
    <row r="905">
      <c r="T905" s="17"/>
      <c r="U905" s="17"/>
      <c r="V905" s="17"/>
      <c r="W905" s="17"/>
    </row>
    <row r="906">
      <c r="T906" s="17"/>
      <c r="U906" s="17"/>
      <c r="V906" s="17"/>
      <c r="W906" s="17"/>
    </row>
    <row r="907">
      <c r="T907" s="17"/>
      <c r="U907" s="17"/>
      <c r="V907" s="17"/>
      <c r="W907" s="17"/>
    </row>
    <row r="908">
      <c r="T908" s="17"/>
      <c r="U908" s="17"/>
      <c r="V908" s="17"/>
      <c r="W908" s="17"/>
    </row>
    <row r="909">
      <c r="T909" s="17"/>
      <c r="U909" s="17"/>
      <c r="V909" s="17"/>
      <c r="W909" s="17"/>
    </row>
    <row r="910">
      <c r="T910" s="17"/>
      <c r="U910" s="17"/>
      <c r="V910" s="17"/>
      <c r="W910" s="17"/>
    </row>
    <row r="911">
      <c r="T911" s="17"/>
      <c r="U911" s="17"/>
      <c r="V911" s="17"/>
      <c r="W911" s="17"/>
    </row>
    <row r="912">
      <c r="T912" s="17"/>
      <c r="U912" s="17"/>
      <c r="V912" s="17"/>
      <c r="W912" s="17"/>
    </row>
    <row r="913">
      <c r="T913" s="17"/>
      <c r="U913" s="17"/>
      <c r="V913" s="17"/>
      <c r="W913" s="17"/>
    </row>
    <row r="914">
      <c r="T914" s="17"/>
      <c r="U914" s="17"/>
      <c r="V914" s="17"/>
      <c r="W914" s="17"/>
    </row>
    <row r="915">
      <c r="T915" s="17"/>
      <c r="U915" s="17"/>
      <c r="V915" s="17"/>
      <c r="W915" s="17"/>
    </row>
    <row r="916">
      <c r="T916" s="17"/>
      <c r="U916" s="17"/>
      <c r="V916" s="17"/>
      <c r="W916" s="17"/>
    </row>
    <row r="917">
      <c r="T917" s="17"/>
      <c r="U917" s="17"/>
      <c r="V917" s="17"/>
      <c r="W917" s="17"/>
    </row>
    <row r="918">
      <c r="T918" s="17"/>
      <c r="U918" s="17"/>
      <c r="V918" s="17"/>
      <c r="W918" s="17"/>
    </row>
    <row r="919">
      <c r="T919" s="17"/>
      <c r="U919" s="17"/>
      <c r="V919" s="17"/>
      <c r="W919" s="17"/>
    </row>
    <row r="920">
      <c r="T920" s="17"/>
      <c r="U920" s="17"/>
      <c r="V920" s="17"/>
      <c r="W920" s="17"/>
    </row>
    <row r="921">
      <c r="T921" s="17"/>
      <c r="U921" s="17"/>
      <c r="V921" s="17"/>
      <c r="W921" s="17"/>
    </row>
    <row r="922">
      <c r="T922" s="17"/>
      <c r="U922" s="17"/>
      <c r="V922" s="17"/>
      <c r="W922" s="17"/>
    </row>
    <row r="923">
      <c r="T923" s="17"/>
      <c r="U923" s="17"/>
      <c r="V923" s="17"/>
      <c r="W923" s="17"/>
    </row>
    <row r="924">
      <c r="T924" s="17"/>
      <c r="U924" s="17"/>
      <c r="V924" s="17"/>
      <c r="W924" s="17"/>
    </row>
    <row r="925">
      <c r="T925" s="17"/>
      <c r="U925" s="17"/>
      <c r="V925" s="17"/>
      <c r="W925" s="17"/>
    </row>
    <row r="926">
      <c r="T926" s="17"/>
      <c r="U926" s="17"/>
      <c r="V926" s="17"/>
      <c r="W926" s="17"/>
    </row>
    <row r="927">
      <c r="T927" s="17"/>
      <c r="U927" s="17"/>
      <c r="V927" s="17"/>
      <c r="W927" s="17"/>
    </row>
    <row r="928">
      <c r="T928" s="17"/>
      <c r="U928" s="17"/>
      <c r="V928" s="17"/>
      <c r="W928" s="17"/>
    </row>
    <row r="929">
      <c r="T929" s="17"/>
      <c r="U929" s="17"/>
      <c r="V929" s="17"/>
      <c r="W929" s="17"/>
    </row>
    <row r="930">
      <c r="T930" s="17"/>
      <c r="U930" s="17"/>
      <c r="V930" s="17"/>
      <c r="W930" s="17"/>
    </row>
    <row r="931">
      <c r="T931" s="17"/>
      <c r="U931" s="17"/>
      <c r="V931" s="17"/>
      <c r="W931" s="17"/>
    </row>
    <row r="932">
      <c r="T932" s="17"/>
      <c r="U932" s="17"/>
      <c r="V932" s="17"/>
      <c r="W932" s="17"/>
    </row>
    <row r="933">
      <c r="T933" s="17"/>
      <c r="U933" s="17"/>
      <c r="V933" s="17"/>
      <c r="W933" s="17"/>
    </row>
    <row r="934">
      <c r="T934" s="17"/>
      <c r="U934" s="17"/>
      <c r="V934" s="17"/>
      <c r="W934" s="17"/>
    </row>
    <row r="935">
      <c r="T935" s="17"/>
      <c r="U935" s="17"/>
      <c r="V935" s="17"/>
      <c r="W935" s="17"/>
    </row>
    <row r="936">
      <c r="T936" s="17"/>
      <c r="U936" s="17"/>
      <c r="V936" s="17"/>
      <c r="W936" s="17"/>
    </row>
    <row r="937">
      <c r="T937" s="17"/>
      <c r="U937" s="17"/>
      <c r="V937" s="17"/>
      <c r="W937" s="17"/>
    </row>
    <row r="938">
      <c r="T938" s="17"/>
      <c r="U938" s="17"/>
      <c r="V938" s="17"/>
      <c r="W938" s="17"/>
    </row>
    <row r="939">
      <c r="T939" s="17"/>
      <c r="U939" s="17"/>
      <c r="V939" s="17"/>
      <c r="W939" s="17"/>
    </row>
    <row r="940">
      <c r="T940" s="17"/>
      <c r="U940" s="17"/>
      <c r="V940" s="17"/>
      <c r="W940" s="17"/>
    </row>
    <row r="941">
      <c r="T941" s="17"/>
      <c r="U941" s="17"/>
      <c r="V941" s="17"/>
      <c r="W941" s="17"/>
    </row>
    <row r="942">
      <c r="T942" s="17"/>
      <c r="U942" s="17"/>
      <c r="V942" s="17"/>
      <c r="W942" s="17"/>
    </row>
    <row r="943">
      <c r="T943" s="17"/>
      <c r="U943" s="17"/>
      <c r="V943" s="17"/>
      <c r="W943" s="17"/>
    </row>
    <row r="944">
      <c r="T944" s="17"/>
      <c r="U944" s="17"/>
      <c r="V944" s="17"/>
      <c r="W944" s="17"/>
    </row>
    <row r="945">
      <c r="T945" s="17"/>
      <c r="U945" s="17"/>
      <c r="V945" s="17"/>
      <c r="W945" s="17"/>
    </row>
    <row r="946">
      <c r="T946" s="17"/>
      <c r="U946" s="17"/>
      <c r="V946" s="17"/>
      <c r="W946" s="17"/>
    </row>
    <row r="947">
      <c r="T947" s="17"/>
      <c r="U947" s="17"/>
      <c r="V947" s="17"/>
      <c r="W947" s="17"/>
    </row>
    <row r="948">
      <c r="T948" s="17"/>
      <c r="U948" s="17"/>
      <c r="V948" s="17"/>
      <c r="W948" s="17"/>
    </row>
    <row r="949">
      <c r="T949" s="17"/>
      <c r="U949" s="17"/>
      <c r="V949" s="17"/>
      <c r="W949" s="17"/>
    </row>
    <row r="950">
      <c r="T950" s="17"/>
      <c r="U950" s="17"/>
      <c r="V950" s="17"/>
      <c r="W950" s="17"/>
    </row>
    <row r="951">
      <c r="T951" s="17"/>
      <c r="U951" s="17"/>
      <c r="V951" s="17"/>
      <c r="W951" s="17"/>
    </row>
    <row r="952">
      <c r="T952" s="17"/>
      <c r="U952" s="17"/>
      <c r="V952" s="17"/>
      <c r="W952" s="17"/>
    </row>
    <row r="953">
      <c r="T953" s="17"/>
      <c r="U953" s="17"/>
      <c r="V953" s="17"/>
      <c r="W953" s="17"/>
    </row>
    <row r="954">
      <c r="T954" s="17"/>
      <c r="U954" s="17"/>
      <c r="V954" s="17"/>
      <c r="W954" s="17"/>
    </row>
    <row r="955">
      <c r="T955" s="17"/>
      <c r="U955" s="17"/>
      <c r="V955" s="17"/>
      <c r="W955" s="17"/>
    </row>
    <row r="956">
      <c r="T956" s="17"/>
      <c r="U956" s="17"/>
      <c r="V956" s="17"/>
      <c r="W956" s="17"/>
    </row>
    <row r="957">
      <c r="T957" s="17"/>
      <c r="U957" s="17"/>
      <c r="V957" s="17"/>
      <c r="W957" s="17"/>
    </row>
    <row r="958">
      <c r="T958" s="17"/>
      <c r="U958" s="17"/>
      <c r="V958" s="17"/>
      <c r="W958" s="17"/>
    </row>
    <row r="959">
      <c r="T959" s="17"/>
      <c r="U959" s="17"/>
      <c r="V959" s="17"/>
      <c r="W959" s="17"/>
    </row>
    <row r="960">
      <c r="T960" s="17"/>
      <c r="U960" s="17"/>
      <c r="V960" s="17"/>
      <c r="W960" s="17"/>
    </row>
    <row r="961">
      <c r="T961" s="17"/>
      <c r="U961" s="17"/>
      <c r="V961" s="17"/>
      <c r="W961" s="17"/>
    </row>
    <row r="962">
      <c r="T962" s="17"/>
      <c r="U962" s="17"/>
      <c r="V962" s="17"/>
      <c r="W962" s="17"/>
    </row>
    <row r="963">
      <c r="T963" s="17"/>
      <c r="U963" s="17"/>
      <c r="V963" s="17"/>
      <c r="W963" s="17"/>
    </row>
    <row r="964">
      <c r="T964" s="17"/>
      <c r="U964" s="17"/>
      <c r="V964" s="17"/>
      <c r="W964" s="17"/>
    </row>
    <row r="965">
      <c r="T965" s="17"/>
      <c r="U965" s="17"/>
      <c r="V965" s="17"/>
      <c r="W965" s="17"/>
    </row>
    <row r="966">
      <c r="T966" s="17"/>
      <c r="U966" s="17"/>
      <c r="V966" s="17"/>
      <c r="W966" s="17"/>
    </row>
    <row r="967">
      <c r="T967" s="17"/>
      <c r="U967" s="17"/>
      <c r="V967" s="17"/>
      <c r="W967" s="17"/>
    </row>
    <row r="968">
      <c r="T968" s="17"/>
      <c r="U968" s="17"/>
      <c r="V968" s="17"/>
      <c r="W968" s="17"/>
    </row>
    <row r="969">
      <c r="T969" s="17"/>
      <c r="U969" s="17"/>
      <c r="V969" s="17"/>
      <c r="W969" s="17"/>
    </row>
    <row r="970">
      <c r="T970" s="17"/>
      <c r="U970" s="17"/>
      <c r="V970" s="17"/>
      <c r="W970" s="17"/>
    </row>
    <row r="971">
      <c r="T971" s="17"/>
      <c r="U971" s="17"/>
      <c r="V971" s="17"/>
      <c r="W971" s="17"/>
    </row>
    <row r="972">
      <c r="T972" s="17"/>
      <c r="U972" s="17"/>
      <c r="V972" s="17"/>
      <c r="W972" s="17"/>
    </row>
    <row r="973">
      <c r="T973" s="17"/>
      <c r="U973" s="17"/>
      <c r="V973" s="17"/>
      <c r="W973" s="17"/>
    </row>
    <row r="974">
      <c r="T974" s="17"/>
      <c r="U974" s="17"/>
      <c r="V974" s="17"/>
      <c r="W974" s="17"/>
    </row>
    <row r="975">
      <c r="T975" s="17"/>
      <c r="U975" s="17"/>
      <c r="V975" s="17"/>
      <c r="W975" s="17"/>
    </row>
    <row r="976">
      <c r="T976" s="17"/>
      <c r="U976" s="17"/>
      <c r="V976" s="17"/>
      <c r="W976" s="17"/>
    </row>
    <row r="977">
      <c r="T977" s="17"/>
      <c r="U977" s="17"/>
      <c r="V977" s="17"/>
      <c r="W977" s="17"/>
    </row>
    <row r="978">
      <c r="T978" s="17"/>
      <c r="U978" s="17"/>
      <c r="V978" s="17"/>
      <c r="W978" s="17"/>
    </row>
    <row r="979">
      <c r="T979" s="17"/>
      <c r="U979" s="17"/>
      <c r="V979" s="17"/>
      <c r="W979" s="17"/>
    </row>
    <row r="980">
      <c r="T980" s="17"/>
      <c r="U980" s="17"/>
      <c r="V980" s="17"/>
      <c r="W980" s="17"/>
    </row>
    <row r="981">
      <c r="T981" s="17"/>
      <c r="U981" s="17"/>
      <c r="V981" s="17"/>
      <c r="W981" s="17"/>
    </row>
    <row r="982">
      <c r="T982" s="17"/>
      <c r="U982" s="17"/>
      <c r="V982" s="17"/>
      <c r="W982" s="17"/>
    </row>
    <row r="983">
      <c r="T983" s="17"/>
      <c r="U983" s="17"/>
      <c r="V983" s="17"/>
      <c r="W983" s="17"/>
    </row>
    <row r="984">
      <c r="T984" s="17"/>
      <c r="U984" s="17"/>
      <c r="V984" s="17"/>
      <c r="W984" s="17"/>
    </row>
    <row r="985">
      <c r="T985" s="17"/>
      <c r="U985" s="17"/>
      <c r="V985" s="17"/>
      <c r="W985" s="17"/>
    </row>
    <row r="986">
      <c r="T986" s="17"/>
      <c r="U986" s="17"/>
      <c r="V986" s="17"/>
      <c r="W986" s="17"/>
    </row>
    <row r="987">
      <c r="T987" s="17"/>
      <c r="U987" s="17"/>
      <c r="V987" s="17"/>
      <c r="W987" s="17"/>
    </row>
    <row r="988">
      <c r="T988" s="17"/>
      <c r="U988" s="17"/>
      <c r="V988" s="17"/>
      <c r="W988" s="17"/>
    </row>
    <row r="989">
      <c r="T989" s="17"/>
      <c r="U989" s="17"/>
      <c r="V989" s="17"/>
      <c r="W989" s="17"/>
    </row>
    <row r="990">
      <c r="T990" s="17"/>
      <c r="U990" s="17"/>
      <c r="V990" s="17"/>
      <c r="W990" s="17"/>
    </row>
    <row r="991">
      <c r="T991" s="17"/>
      <c r="U991" s="17"/>
      <c r="V991" s="17"/>
      <c r="W991" s="17"/>
    </row>
    <row r="992">
      <c r="T992" s="17"/>
      <c r="U992" s="17"/>
      <c r="V992" s="17"/>
      <c r="W992" s="17"/>
    </row>
    <row r="993">
      <c r="T993" s="17"/>
      <c r="U993" s="17"/>
      <c r="V993" s="17"/>
      <c r="W993" s="17"/>
    </row>
    <row r="994">
      <c r="T994" s="17"/>
      <c r="U994" s="17"/>
      <c r="V994" s="17"/>
      <c r="W994" s="17"/>
    </row>
    <row r="995">
      <c r="T995" s="17"/>
      <c r="U995" s="17"/>
      <c r="V995" s="17"/>
      <c r="W995" s="17"/>
    </row>
    <row r="996">
      <c r="T996" s="17"/>
      <c r="U996" s="17"/>
      <c r="V996" s="17"/>
      <c r="W996" s="17"/>
    </row>
    <row r="997">
      <c r="T997" s="17"/>
      <c r="U997" s="17"/>
      <c r="V997" s="17"/>
      <c r="W997" s="17"/>
    </row>
    <row r="998">
      <c r="T998" s="17"/>
      <c r="U998" s="17"/>
      <c r="V998" s="17"/>
      <c r="W998" s="17"/>
    </row>
    <row r="999">
      <c r="T999" s="17"/>
      <c r="U999" s="17"/>
      <c r="V999" s="17"/>
      <c r="W999" s="17"/>
    </row>
    <row r="1000">
      <c r="T1000" s="17"/>
      <c r="U1000" s="17"/>
      <c r="V1000" s="17"/>
      <c r="W1000"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88"/>
  </cols>
  <sheetData>
    <row r="2">
      <c r="B2" s="2" t="s">
        <v>1</v>
      </c>
    </row>
    <row r="3">
      <c r="B3" s="2" t="s">
        <v>6</v>
      </c>
    </row>
    <row r="4">
      <c r="B4" s="2" t="s">
        <v>9</v>
      </c>
    </row>
    <row r="5">
      <c r="B5" s="2" t="s">
        <v>12</v>
      </c>
    </row>
    <row r="6">
      <c r="B6" s="2" t="s">
        <v>15</v>
      </c>
    </row>
    <row r="7">
      <c r="B7" s="2" t="s">
        <v>16</v>
      </c>
    </row>
  </sheetData>
  <drawing r:id="rId1"/>
</worksheet>
</file>