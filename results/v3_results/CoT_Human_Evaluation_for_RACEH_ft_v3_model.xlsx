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TACT_15Qs" sheetId="1" r:id="rId5"/>
    <sheet state="visible" name="RACEH_15Qs" sheetId="2" r:id="rId6"/>
    <sheet state="visible" name="Scoring Scheme" sheetId="3" r:id="rId7"/>
  </sheets>
  <definedNames/>
  <calcPr/>
</workbook>
</file>

<file path=xl/sharedStrings.xml><?xml version="1.0" encoding="utf-8"?>
<sst xmlns="http://schemas.openxmlformats.org/spreadsheetml/2006/main" count="526" uniqueCount="350">
  <si>
    <t>context</t>
  </si>
  <si>
    <t>{0}: Completely irrelevant to the passage, question, or task.</t>
  </si>
  <si>
    <t>question</t>
  </si>
  <si>
    <t>answerA</t>
  </si>
  <si>
    <t>answerB</t>
  </si>
  <si>
    <t>answerC</t>
  </si>
  <si>
    <t>answerD</t>
  </si>
  <si>
    <t>correct</t>
  </si>
  <si>
    <t>baseline rationale (official answers or Grok 3 generated)</t>
  </si>
  <si>
    <t>model output RACEH ft_v3)</t>
  </si>
  <si>
    <t>{1}: One or two passage-related words/phrases, no reasoning.</t>
  </si>
  <si>
    <t>model output (RACEH ft_v3)</t>
  </si>
  <si>
    <t>Type of Q</t>
  </si>
  <si>
    <t>{2}: Several passage-related words/phrases, no coherent reasoning.</t>
  </si>
  <si>
    <t>Answer</t>
  </si>
  <si>
    <t>Human Evaluations (Evaluator 1)(Simone)</t>
  </si>
  <si>
    <t>{3}: Basic reasoning with one logical step tied to the passage.</t>
  </si>
  <si>
    <t>Evaluator 1 notes(Simone)</t>
  </si>
  <si>
    <t>{4}: Clear reasoning with multiple steps, transition words, and passage references, minor gaps possible.</t>
  </si>
  <si>
    <t>Human Evaluations (Evaluator 2)(Anagha)</t>
  </si>
  <si>
    <t>{5}: Thorough, accurate reasoning fully addressing the question with precise passage citations.</t>
  </si>
  <si>
    <t>Evaluator 2 notes(Anagha)</t>
  </si>
  <si>
    <t>Human Evaluations (Evaluator 3)(taruni)</t>
  </si>
  <si>
    <t>Evaluator 3 notes(Taruni)</t>
  </si>
  <si>
    <t>Human Evaluations (Evaluator 4)(Sophie)</t>
  </si>
  <si>
    <t>Evaluator 4 notes(Sophie)</t>
  </si>
  <si>
    <t>Bert Score</t>
  </si>
  <si>
    <t>ROUGE 1 F1</t>
  </si>
  <si>
    <t>ROUGE 2 F1</t>
  </si>
  <si>
    <t>ROUGE L F1</t>
  </si>
  <si>
    <t>George Bernard Shaw and Winston Churchill disliked each other. It is said that the playwright once sent Churchill two tickets for the opening night of one of his plays, together with a card, which said, "Bring a friend (if you have one)."
 Churchill, however, returned the tickets with a note, which said, "I shall be busy that evening. Please send me two tickets for the second night (if there is one)."
 There is no record of whether Shaw ever sent the tickets.</t>
  </si>
  <si>
    <t>The following text is adapted from Paul Laurence Dunbar’s 1902 novel The Sport of the Gods. Joe and some of his family members have recently moved to New York City. [Joe] was wild with enthusiasm and with a desire to be a part of all that the metropolis meant. In the evening he saw the young fellows passing by dressed in their spruce clothes, and he wondered with a sort of envy where they could be going. Back home there had been no place much worth going to, except church and one or two people’s houses.</t>
  </si>
  <si>
    <t>Which choice best states the main purpose of the text?</t>
  </si>
  <si>
    <t>Why didn't Churchill want the tickets for the first night?</t>
  </si>
  <si>
    <t>He didn't want to take Shaw's insult .</t>
  </si>
  <si>
    <t>The theatre would not be as crowded the second night.</t>
  </si>
  <si>
    <t>He was busy on the first night of the show.</t>
  </si>
  <si>
    <t>He couldn't find a friend to go with him the first night.</t>
  </si>
  <si>
    <t>It illustrates a character’s reaction to a new environment.</t>
  </si>
  <si>
    <t>A</t>
  </si>
  <si>
    <t>It explains why a character has traveled to a city.</t>
  </si>
  <si>
    <t>It compares a character’s thoughts about an event at two different times of day.</t>
  </si>
  <si>
    <t>Choice A is the best answer because it correctly explains why Churchill rejected the first-night tickets. Shaw’s insulting note, “Bring a friend (if you have one),” implies Churchill lacks friends, and Churchill’s sharp reply suggests he returned the tickets to avoid accepting the insult, not due to being busy, crowd concerns, or lacking a friend, as supported by their mutual dislike in the text.</t>
  </si>
  <si>
    <t>It presents a character feeling regret over leaving home.</t>
  </si>
  <si>
    <t>The correct answer is D, because it indicates when Jenny returned home, she went back on Sunday, making choice D, she returned home on the Sunday afternoon .
 Question: When did she go back?
 Answer: On Sunday, around 3:00 p.m.
 This is the answer to the question "When did Jenny return home?"
 [</t>
  </si>
  <si>
    <t>Choice A is the best answer because it accurately captures the text’s main purpose. The text highlights Joe’s enthusiasm and curiosity about New York City, noting his observations of well-dressed young men and contrasting this with the limited social options back home. This shows the text’s focus on illustrating Joe’s reaction to his new urban environment, not his reasons for moving, thoughts at different times, or regret about leaving home.</t>
  </si>
  <si>
    <t>Summary</t>
  </si>
  <si>
    <t>Wrong</t>
  </si>
  <si>
    <t>Choices A and B are the best answers because they accurately capture the main purposes of the texts. The texts describe how Cris' music blends Indigenous and Classical music to reflect a diverse Canadian cultural landscape.
 This illustrates her using a powwowsh drum as a lead instrument to lead an orchestra in creating new music. This demonstrates her using her Indigenous heritage to create music that reflects Canada's diverse cultural landscapes.
 In this way, she is showing that she is blending two cultures together in a way that reflects the diversity of Canada's cultural landscape, and that she should be acknowledged for this.
 The text describes the difficulties she encountered when creating her album, and shows how she has managed to create a new way of music in her own way.</t>
  </si>
  <si>
    <t>Unrelated to passage</t>
  </si>
  <si>
    <t>Irrelevant to the context, relates to one-shot example.</t>
  </si>
  <si>
    <t>Thorough reasoning that is unrelated to passage</t>
  </si>
  <si>
    <t>Good reasoning but unrelated to the context. Reasoning is related to the one-shot example instead of the current problem context</t>
  </si>
  <si>
    <t>Unrelated reasoning</t>
  </si>
  <si>
    <t>The reasoning is good but unrealted to the context</t>
  </si>
  <si>
    <t>hallucinating question</t>
  </si>
  <si>
    <t>This discusses indigenous &amp; classical music while the passage is about NYC</t>
  </si>
  <si>
    <t>When George was thirty-five, he bought a small plane and learned to fly it. He soon became very good and made his plane do all kinds of tricks .
 George had a friend, whose name was Mark. One day George offered to take Mark up in his plane.
 Mark thought, " I've traveled in a big plane several times, but I've never been in a small one, so I'll go. "
 They went up, and George flew around for half an hour and did all kinds of tricks in the air.
 When they came down again, Mark was glad to be back safely, and he said to his friend in a
 shaking voice, "Well , George, thank you very much for those two trips in your plane."
 George was very surprised and said, " Two trips? "
  " Yes, my first and my last. " answered Mark.</t>
  </si>
  <si>
    <t>Which of the following statements is false?</t>
  </si>
  <si>
    <t>George learned to fly a plane very quickly .</t>
  </si>
  <si>
    <t>It took George a short time to learn to fly a plane.</t>
  </si>
  <si>
    <t>George had some difficulty learning to fly a plane.</t>
  </si>
  <si>
    <t>Mark decided to fly in George's small plane.</t>
  </si>
  <si>
    <t>C</t>
  </si>
  <si>
    <t>The following text is adapted from Gwendolyn Bennett's 1926 poem “Street Lamps in Early Spring.” "Night wears a garment All velvet soft, all violet blue ... And over her face she draws a veil As shimmering fine as floating dew ... And here and there In the black of her hair The subtle hands of Night Move slowly with their gem-starred light."</t>
  </si>
  <si>
    <t>Choice C is the best answer because it is the false statement about the passage. The passage states that George, at thirty-five, bought a small plane, learned to fly it, and “soon became very good,” indicating he learned quickly and proficiently. However, Choice C is false, as the passage provides no evidence of difficulty, only that he learned quickly and excelled.</t>
  </si>
  <si>
    <t>Which choice best describes the overall structure of the text?</t>
  </si>
  <si>
    <t>Choices A, B, and D are the correct answers, because they accurately identify when Jenny returned home, and the passage states she did so on Sunday, around 3:00 pm.
 Question: When did she go back?
 Answer: On Sunday, about 3.00 pm
 [</t>
  </si>
  <si>
    <t>It presents alternating descriptions of night in a rural area and in a city.</t>
  </si>
  <si>
    <t>It sketches an image of nightfall, then an image of sunrise.</t>
  </si>
  <si>
    <t>It makes an extended comparison of night to a human being.</t>
  </si>
  <si>
    <t>It portrays how night changes from one season of the year to the next.</t>
  </si>
  <si>
    <t>Choice C is the best answer because it most accurately describes the overall
 structure of the text. Throughout the text, the speaker characterizes nighttime as
 if it were a person who wears clothing (“a garment” that is “velvet soft” and “violet
 blue”) and a veil “over her face” and who moves her hands “slowly with their
 gem-starred light” through her dark hair. Thus, the text is structured as an
 extended comparison of night to a human being.</t>
  </si>
  <si>
    <t>Choices A and B are the best answers because they accurately capture the main purposes of this text.
 The text describes the way in which Cris' music blends cultures. It illustrates how she uses a 'powwow drum' to lead an orchestra in her music.
 This illustrates her using a 'beat' to guide the musicians in her compositions.
 It shows how she is able to create a new kind of music that reflects Canada's varied cultural landscape.
 In this way, it shows that she is creating a unique style of her own, and that she deserves to be recognized as a creative artist. [END</t>
  </si>
  <si>
    <t>On the morning of November 18, 1755, an earthquake shock Boston. John Winthrop, a professor at Harvard College, felt the quake and awoke. "I rose", Winthrop wrote, "and lighted a candle, looked at my watch, and found it to be 15minutes after four." John Winthrop hurried downstairs to the grandfather clock. It had stopped three minutes before, at 4:12. Except for stopping the clock, the quake had only thrown a key from the mantel to the floor.
 The clock had stopped because Winthrop had put some long glass tubes he was using for an experiment into the case for safekeeping. The quake had knocked the tubes over and blocked the pendulum .Winthrop, therefore, had the key on the floor. The quake had thrown _ forward in the direction of the quake' s motion by a shock coming from the northwest, perhaps in Canada.</t>
  </si>
  <si>
    <t>This discusses indigenous &amp; classical music while the passage is about night</t>
  </si>
  <si>
    <t>John Winthrop put some tubes into this clock case because _ .</t>
  </si>
  <si>
    <t>he wanted to do an experiment</t>
  </si>
  <si>
    <t>he thought an earthquake was probably to happen soon</t>
  </si>
  <si>
    <t>he thought it safe for them to be put there</t>
  </si>
  <si>
    <t>he wanted to record the exam time of the earthquake</t>
  </si>
  <si>
    <t>Choice C is the best answer because it accurately explains why John Winthrop put the glass tubes into the clock case, as described in the passage. The passage states that Winthrop placed the tubes in the case “for safekeeping,” indicating he believed it was a safe place to store them.</t>
  </si>
  <si>
    <t>Option D is correct because it describes when Jenny returned home, when she did.
 The passage states: "When she went back, she drove directly home, and had a wonderful time."
 [</t>
  </si>
  <si>
    <t>While researching a topic, a student has taken the following notes: Some powerful works of literature have so influenced readers that new legislation has been passed as a result. The Interesting Narrative of the Life of Olaudah Equiano (1789) is the autobiography of a man who endured slavery on both sides of the Atlantic. Equiano’s book contributed to the passage of the Slave Trade Act of 1807. The Jungle (1906) is a fictional work by Upton Sinclair that describes unsanitary conditions in US meatpacking plants. Sinclair’s book contributed to the passage of the Pure Food and Drug Act in 1906.</t>
  </si>
  <si>
    <t>The student wants to emphasize a difference between the two books. Which choice most effectively uses relevant information from the notes to accomplish this goal?</t>
  </si>
  <si>
    <t>Although both are powerful works of literature that contributed to new legislation, Equiano’s book is an autobiography, while Sinclair’s is fictional.</t>
  </si>
  <si>
    <t>They may have written about different topics, but Equiano and Sinclair both influenced readers.</t>
  </si>
  <si>
    <t>The 1807 Slave Trade Act resulted in part from a book by Equiano, while the 1906 Pure Food and Drug Act resulted in part from a book by Sinclair.</t>
  </si>
  <si>
    <t>The Interesting Narrative of the Life of Olaudah Equiano and The Jungle are two works of literature that contributed to new legislation (concerning the slave trade and food safety, respectively).</t>
  </si>
  <si>
    <t>B</t>
  </si>
  <si>
    <t>Choice B is the best answer because it effectively emphasizes a difference between Equiano’s The Interesting Narrative of the Life of Olaudah Equiano and Sinclair’s The Jungle by noting they “written about different topics”—slavery versus unsanitary meatpacking conditions—as per the notes. This directly highlights a key distinction in their subject matter, aligning with the student’s goal.</t>
  </si>
  <si>
    <t>Choices A and B are the best answers because they accurately capture the main purposes of the texts. The texts describe how Cris, a Cree musician, combines Indigenous and Classical music to reflect the varied cultural landscapes of Canada, and illustrate how she is able to create new music in her own style.
 This illustrates how she blends her Indigenous heritage and classical training to create music that reflects Canada's diverse cultural landscapes.
 In this way, she demonstrates that she has created a new way of music that is unique to her, and that she should be acknowledged for creating it.
 The question is, which choice best describes the main reason for the text to be written? Choices A or B?
 A. To illustrate how Cris combines her Indigenous and</t>
  </si>
  <si>
    <t>Are you hard-working? Do you like to meet people? If your answer is "Yes", then we have a
 job for you as a waiter.
 Call AL Hotel at 556779! 
  (2) SUMMER JOB
 Do you like to talk with people? Do you like to write stories? If you want to work for our magazine as a reporter, please call Karen at 558366.
 (3) HELP WANTED
  Do you like babies? Can you look after one baby for two days? If you are sure to take food
 care of it, call us at 766588. $80 or more. Today! Hurry! 
  (4)CLEANER WANTED
 Can you make a large house clean and tidy?
 If you hope to get the job paid at $20 once, call us this evening 18:00-20:00. Tel:633800</t>
  </si>
  <si>
    <t>The above job ads are probably from a _ .</t>
  </si>
  <si>
    <t>newspaper</t>
  </si>
  <si>
    <t>This discusses indigenous &amp; classical music while the passage is about influencing readers</t>
  </si>
  <si>
    <t>story book</t>
  </si>
  <si>
    <t>TV show</t>
  </si>
  <si>
    <t>radio program</t>
  </si>
  <si>
    <t>Choice A is the best answer because it correctly identifies the source of the job ads as a newspaper. The passage presents four job advertisements with brief descriptions, contact numbers, and specific details (e.g., pay, hours), formatted in a concise, text-based style typical of classified sections in newspapers.</t>
  </si>
  <si>
    <t>Option A: newspaper story book.
 Option B: TV show .
 Option C: radio program.
 D: . . . help wanted .
 Help wanted: Can you do a large job for us as a cleaner?
 [</t>
  </si>
  <si>
    <t>By combining Indigenous and classical music, Cree composer and cellist Cris Derksen creates works that reflect the diverse cultural landscape of Canada. For her album Orchestral Powwow, Derksen composed new songs in the style of traditional powwow music that were accompanied by classical arrangements played by an orchestra. But where an orchestra would normally follow the directions of a conductor, the musicians on Orchestral Powwow are led by the beat of a powwow drum.</t>
  </si>
  <si>
    <t>No reasoning/selected answer.</t>
  </si>
  <si>
    <t>To examine how Derksen’s musical compositions blend cultures</t>
  </si>
  <si>
    <t>Maintains some context but no reasoning</t>
  </si>
  <si>
    <t>To argue that Derksen should be recognized for creating a new style of music</t>
  </si>
  <si>
    <t>To describe the difficulties Derksen encountered when producing her album</t>
  </si>
  <si>
    <t>To establish a contrast between Derksen’s classical training and her Cree heritage</t>
  </si>
  <si>
    <t>Just gives an answer with no reasoning</t>
  </si>
  <si>
    <t>mimics answer choices</t>
  </si>
  <si>
    <t>Choice A is the best answer because it accurately captures the main purpose of the text. The text describes how Cris Derksen combines Indigenous powwow music with classical arrangements in her album Orchestral Powwow, highlighting her use of a powwow drum to lead the orchestra. This illustrates her blending of Indigenous and classical musical traditions to reflect Canada’s diverse cultural landscape.</t>
  </si>
  <si>
    <t>Choices A and B are the best answers because they effectively highlight a difference in the two texts, and highlight the way in which they are used to accomplish the goal.
This is an example of how a text can be used to achieve a specific goal, and how it can be done in a way that highlights the difference between two texts.
In this example, the text is used to highlight a different way of using the text to accomplish a goal. This is a good example of using a text as a tool to highlight the difference in two texts in order to achieve the specific goal of the question.
The question is: Which choice is most effectively used to illustrate the difference?
The choice is:
A. Using the notes from</t>
  </si>
  <si>
    <t>My father, at the death of his father, was six years old, and he grew up without education. He moved from Kentucky to Indiana when I was seven. We reached our new home about the time the state came into the Union. It was a wild area, with many bears and other wild animals still in the woods. I grew up there. There were some so-called schools, but what was required of a teacher never went beyond "reading, writing, and adding." If a stranger supposed to understand Latin happened to live for a time in the area, he was looked on as wizard . There was simply nothing to excite a desire for education. Of course, when I grew up, I did not know much. Still, somehow, I could read, write, and add, but that was all. The advance I have now made is on this store of education, which I have picked up under the pressure of necessity.</t>
  </si>
  <si>
    <t>Unrelated to passage.</t>
  </si>
  <si>
    <t>How did the writer look at his early education?</t>
  </si>
  <si>
    <t>Attempt at reasoning, but no context is referenced properly.</t>
  </si>
  <si>
    <t>He believed he met the school requirements.</t>
  </si>
  <si>
    <t>He thought he was well-educated.</t>
  </si>
  <si>
    <t>Answer is off-topic from the passage</t>
  </si>
  <si>
    <t>He thought it was not satisfactory.</t>
  </si>
  <si>
    <t>He believed he was poorly educated.</t>
  </si>
  <si>
    <t>not the right question</t>
  </si>
  <si>
    <t>Choice C is the best answer because it accurately reflects how the writer viewed his early education. The passage describes the writer’s childhood in a “wild area” with limited schools where teachers only needed basic skills (“reading, writing, and adding”). The writer states, “Of course, when I grew up, I did not know much,” and notes that his education was minimal, only covering basic literacy and arithmetic, which he later built upon “under the pressure of necessity.” This indicates he found his early education unsatisfactory.</t>
  </si>
  <si>
    <t>Choices A, B, and D are the best answers to explain why the writer put the tubes into his clock case.
 Question: How did he feel about putting the tubes there?
 Answer: He felt that it was safe. He felt it was an experiment to see if it would be safe to put them there.
 The earthquake had thrown the key forward into the direction the quake's motion was going, possibly in Canada, and it blocked the clock's pendulum. The earthquake had knocked some glass tubes over, and the clock stopped because he had put them in.
 It was a shock to him that it had done that.
 He therefore put the glasses tubes in a case to keep them safe.
 In this way,</t>
  </si>
  <si>
    <t>Painter Alma W. Thomas was fascinated by the colors and shapes found in nature. The flowers and trees in the garden at her home in Washington, DC, [BLANK] her work. For example, Thomas’s use of broken brushstrokes was inspired by the way that light would shine through the leaves of a tree in front of her house.</t>
  </si>
  <si>
    <t>Which choice completes the text with the most logical and precise word or phrase?</t>
  </si>
  <si>
    <t>restricted</t>
  </si>
  <si>
    <t>announced</t>
  </si>
  <si>
    <t>distracted</t>
  </si>
  <si>
    <t>influenced</t>
  </si>
  <si>
    <t>D</t>
  </si>
  <si>
    <t>Choice D is the best answer because it most logically completes the text’s
 discussion of painter Alma W. Thomas’s work. In this context, “influenced” means
 to have had an effect on something’s development. The text indicates that there
 is a connection between Thomas’s work and the flowers and trees in her home’s
 garden, giving the example of Thomas’s brushstrokes being inspired by light
 shining through the leaves of a tree in front of her house. This context conveys
 that Thomas’s work was influenced by the flowers and trees in the garden.</t>
  </si>
  <si>
    <t>Choices A and B are the best answers because they most logically complete the text's discussion of _____ _____ .
 [</t>
  </si>
  <si>
    <t>Fill in the blank</t>
  </si>
  <si>
    <t>Creates novel question and blank</t>
  </si>
  <si>
    <t>No reasoning and no context</t>
  </si>
  <si>
    <t>No reasoning</t>
  </si>
  <si>
    <t>understands fill in the blank but doesn't give any solid reasoning</t>
  </si>
  <si>
    <t>Christmas Day, the birthday of Jesus Christ, is the most important festival in prefix = st1 /Britainand some other countries. On Christmas Eve, people usually tell their children to put their stockings at the end of their beds before they go to sleep. Children believe Santa Claus, with the other name of Father Christmas, will come during the night and fill their stockings with Christmas presents.
  Actually , Father Christmas is children's father. He dresses up in a red coat and waits until children fall asleep. Then he goes into children's bedrooms, and puts small presents in their stockings. When children are no longer young, they know who Father Christmas really is.
  Not only children but also their parents enjoy Christmas stockings. They also have stockings. Early on the morning of Christmas Day, children wake their parents up and say"Merry Christmas". Then they help their parents open their stockings. Everybody likes presents. But it is better to give than to receive.</t>
  </si>
  <si>
    <t>What do all the British children do on Christmas Eve in the story?</t>
  </si>
  <si>
    <t>They talk all the night.</t>
  </si>
  <si>
    <t>They sing and dance.</t>
  </si>
  <si>
    <t>Barring major archaeological discoveries, we are unlikely to ever have [BLANK] account of ancient Egypt under the female pharaoh Hatshepsut, as much of the evidence of her reign was deliberately destroyed by her successors.</t>
  </si>
  <si>
    <t>They put their stockings at the end of their beds.</t>
  </si>
  <si>
    <t>an imaginative</t>
  </si>
  <si>
    <t>They won't sleep until Father Christmas comes.</t>
  </si>
  <si>
    <t>a superficial</t>
  </si>
  <si>
    <t>an exhaustive</t>
  </si>
  <si>
    <t>a questionable</t>
  </si>
  <si>
    <t>Choice C is the best answer because it accurately describes what all British children do on Christmas Eve according to the passage. The text states, “On Christmas Eve, people usually tell their children to put their stockings at the end of their beds before they go to sleep,” indicating this is a common practice for children.</t>
  </si>
  <si>
    <t>Choice C is the best answer because it most logically completes the text’s
 discussion of historical evidence about ancient Egypt under the reign of the
 pharaoh Hatshepsut. In this context, “an exhaustive” account would be a thorough
 one. The text states that much of the evidence from her reign was purposely
 destroyed—in other words, there is a lack of surviving records. This context
 conveys that unless there are major new archaeological discoveries, an
 exhaustive account of Hatshepsut’s reign is unlikely.</t>
  </si>
  <si>
    <t>Choices A, B, and D are the best answers because they accurately explain why John put the tubes into his clock case.
 Question: Why did John put his glass tubes in a clock case?
 Answer: He believed that it was safe to put them there.
 The earthquake had thrown his key forward in its direction of motion, possibly in Canada, and had blocked the clock's pendulum.
 John Winthrop felt the earthquake and awoke, and lighted his candle and looked at his watch. It was 15 minutes after four, and he awoke to find it had stopped. He looked at the clock and saw it was now 15 minutes past four. He felt a shock, and it knocked the glass tube over, blocking the pend</t>
  </si>
  <si>
    <t>Choices A and B are the best answers because they most logically complete the text's discussion of ____ an imaginative account of the ____ account of an ancient Egyptian woman's reign. [END</t>
  </si>
  <si>
    <t>Related to passage but no reasoning present</t>
  </si>
  <si>
    <t>understands context, no reasoning</t>
  </si>
  <si>
    <t>There is context but no reasoning</t>
  </si>
  <si>
    <t>understands what the passage is abt &amp; that it is a fill in the blank</t>
  </si>
  <si>
    <t>Mars is the planet most like Earth.Flying to Mars is a difficult task for humans.
 There is an experiment with the name "Mars 500" in Russia.Six volunteers take part in the experiment.They come from China, Russia, France and Italy.They won't go to outer space.They will stay in small modules on the ground for 520 days.It's just like a real journey
 In the modules, they will experience a lot: flying to Mars, flying back and working on Mars.During the long "journey", the volunteers can only eat space food.They can shower every 10 days.They can call their friends or families.Anyone of them can _ if he doesn't feel well.This experiment helps scientists know how well humans will be on a long journey to Mars.
 Wangyue, 26, from China, is the youngest of the volunteers.He is a teacher at the China Astronaut Research and Training Center in Beijing.</t>
  </si>
  <si>
    <t>Which of the statement is Not True?</t>
  </si>
  <si>
    <t>In her two major series “Memory Test” and “Autobiography,” painter Howardena Pindell explored themes [BLANK] healing, self-discovery, and memory by cutting and sewing back together pieces of canvas and inserting personal artifacts, such as postcards, into some of the paintings.</t>
  </si>
  <si>
    <t>The volunteers are not going to move to outer space.</t>
  </si>
  <si>
    <t>Which choice completes the text so that it conforms to the conventions of Standard English?</t>
  </si>
  <si>
    <t>The volunteers will stay on the Mars for more than 17 months.</t>
  </si>
  <si>
    <t>of</t>
  </si>
  <si>
    <t>The volunteers can make video calls to their friends and families</t>
  </si>
  <si>
    <t>of,</t>
  </si>
  <si>
    <t>The name of the experiment is "Mars 500".</t>
  </si>
  <si>
    <t>of—</t>
  </si>
  <si>
    <t>of:</t>
  </si>
  <si>
    <t>Choice C is the correct answer because it identifies a false statement about the “Mars 500” experiment. The passage states that volunteers “can call” friends or families, but does not mention video calls. Thus, the claim in Choice C that volunteers can make video calls is not supported by the text.</t>
  </si>
  <si>
    <t>Choice A is the best answer. The convention being tested is punctuation between a
 preposition and its complement. No punctuation is needed between the preposition
 “of” and its complement, the noun phrase “healing, self-discovery, and memory.”</t>
  </si>
  <si>
    <t>Choices A and D are the best answers because they accurately explain why John put the tubes into his clock case.
 The passage says that he placed them there for "safekeeping".
 [</t>
  </si>
  <si>
    <t>Option A: Attached
 Option B: Collected
 D: Replaced
 The choice of "attached" is the most logically complete way to complete the text, and it is therefore the best choice.
 In this context it suggests that, although the boulder-covered surface of the asteroid caused some unexpected problems, the spacecraft managed to collect a sample and bring it back to earth.
 This context implies that the spacecraft successfully acquired a sample from the surface of an asteroid and brought it back.
 . . .
 [</t>
  </si>
  <si>
    <t>Creates its own question to answer.</t>
  </si>
  <si>
    <t>This discusses asteroids while the passage is about paintings</t>
  </si>
  <si>
    <t>A new law helps people with disabilities. The law says that people with disabilities must be able to get into and out of all public buildings. It also says that business must offer special services to people who have special needs. Companies can not refuse to hire disabled workers. Many businesses may have to change their buildings and services.
 --Ramps must be built so people can get into buildings.
 --Movie theatres must have space for people in wheelchairs and seats for their friends to sit near them.
 --Elevators must have floor number in _ .
 This law will help millions of people. One woman who has been in a wheelchair for many years said, "It is like a dream."</t>
  </si>
  <si>
    <t>Ramps can help people_.</t>
  </si>
  <si>
    <t>with hearing problems</t>
  </si>
  <si>
    <t>who have difficulty in using their hands</t>
  </si>
  <si>
    <t>who have difficulty in using their legs or feet</t>
  </si>
  <si>
    <t>Eighteen letters written by Louisa May Alcott, author of the popular novel Little Women (1868), can be found at the New York Historical Society. [BLANK] letters demonstrate Alcott’s keen business sense in her interactions with publishers</t>
  </si>
  <si>
    <t>who don't like stairs</t>
  </si>
  <si>
    <t>One</t>
  </si>
  <si>
    <t>That</t>
  </si>
  <si>
    <t>Choice C is the correct answer because it accurately identifies who ramps help, as described in the passage. The passage states, “Ramps must be built so people can get into buildings,” in the context of a law ensuring accessibility for people with disabilities, particularly those using wheelchairs. Ramps specifically aid individuals with difficulty using their legs or feet, such as wheelchair users, by providing an alternative to stairs, making Choice C the best fit.</t>
  </si>
  <si>
    <t>This</t>
  </si>
  <si>
    <t>These</t>
  </si>
  <si>
    <t>If ramps are built in places where people with special needs can get in and out, then it will help them. If they are not built, it will make it harder for them to get in or out of places where they need to be.
 If a business refuses to hire a person with a disability, it can make it difficult for that person to do their job, and it may make it hard for the business to do business in the future.
 This law will make a difference in the lives of many people. It will help many people, and will make the world a better place for them and their families.
 --Ramps should be built to make it easy for people with mobility problems to get to and from places. If not</t>
  </si>
  <si>
    <t>Choice D is the best answer. The convention being tested is the use of
 determiners in a sentence. The plural determiner “these” agrees in number with
 the plural noun “letters” that it modifies. This choice clearly indicates that the
 letters demonstrate Alcott’s business sense.</t>
  </si>
  <si>
    <t>Mentions special needs but does not follow task.</t>
  </si>
  <si>
    <t>The choice that completes the sentence is the one that most logically complements the text.
 This is the way in which the text should be written.
 If you have any questions or comments, please feel free to contact me.
 I hope you find this helpful.
 I am happy to answer any questions you may have.
 . . . .
 [</t>
  </si>
  <si>
    <t>Reasons well but doesn't identify the task</t>
  </si>
  <si>
    <t>The reasoning is good but doesn't talk about the question</t>
  </si>
  <si>
    <t>Relevant to task but no reasoning present.</t>
  </si>
  <si>
    <t>gives accurate reasoning for ramps</t>
  </si>
  <si>
    <t>doesn't offer any choices or reasoning, just pleasantries</t>
  </si>
  <si>
    <t>Even if you are a good high-jumper, you can jump only about seven feet off the ground. You cannot jump any higher because the earth pulls you hard. The pull of the earth is called gravity.
  You can easily find out the pull of the earth. If you weigh yourself, you will know how much gravity is pulling you.
  Since there is gravity, water runs down hill. When you throw a ball into the air, it falls back down. Because of gravity, you do not fall off the earth as it whirls around.
  Then, can we get away from the earth and go far out into space? Now you can do it, because spaceships have been invented. Then spaceship will go so fast that it can escape the earth's gravity and carry you into space.</t>
  </si>
  <si>
    <t>In this passage, the word "gravity" means _ .</t>
  </si>
  <si>
    <t>the pull of everything.</t>
  </si>
  <si>
    <t>the force of attraction among objects.</t>
  </si>
  <si>
    <t>the force which attracts objects towards the centre of the earth</t>
  </si>
  <si>
    <t>the force which attracts the earth towards the sun.</t>
  </si>
  <si>
    <t>Choice C is the correct answer because it accurately defines “gravity” as used in the passage. The passage explains gravity as the force that pulls objects toward the Earth, stating, “The pull of the earth is called gravity,” and illustrates this with examples like water running downhill, a ball falling back to the ground, and people not falling off the Earth. Choice C, “the force which attracts objects towards the centre of the earth,” precisely matches this description, capturing the Earth-centered attractive force described throughout the text.</t>
  </si>
  <si>
    <t>Choices A, B, and D are the correct answers.
 [</t>
  </si>
  <si>
    <t>Slam poet Elizabeth Acevedo’s debut novel The Poet X, winner of the 2018 National Book Award for Young People’s Literature, is composed of [BLANK] protagonist, fifteen-year-old Xiomara Batista.</t>
  </si>
  <si>
    <t>poems putatively written by the novel’s</t>
  </si>
  <si>
    <t>Selects answers but not passage-specific.</t>
  </si>
  <si>
    <t>poem’s putatively written by the novel’s</t>
  </si>
  <si>
    <t>Talks about the options but no reasoning</t>
  </si>
  <si>
    <t>poem’s putatively written by the novels’</t>
  </si>
  <si>
    <t>poems putatively written by the novels’</t>
  </si>
  <si>
    <t>no reasoning</t>
  </si>
  <si>
    <t>Choice A is the best answer because it correctly completes the sentence per Standard English conventions. The phrase “poems putatively written by the novel’s” uses the plural “poems” to reflect the novel’s poetry-based structure, “putatively” to indicate attribution to the protagonist, and “novel’s” for the singular novel, The Poet X. Choice A is grammatically correct and contextually fitting.</t>
  </si>
  <si>
    <t>Option A is the most logically complete answer.
 Option B is not the best choice because it does not complete the text in the way that the text suggests.
 Option D is not a good choice because the text does not suggest that the poem was written by a character in the novel.
 . . . .
 [</t>
  </si>
  <si>
    <t>Correct</t>
  </si>
  <si>
    <t>Correct but shallow reasoning with multiple steps.</t>
  </si>
  <si>
    <t>One day Mr. Brown sees a young woman in the street with children. He is very surprised because all the children are wearing the same clothes. White caps, blue coats and yellow trousers.
 "Are all these children yours?" he asks the woman.
 "Yes, they are." she answers.
 "Do you always dress them in the same clothes ?" asks Mr. Brown.
 "Yes," answers the mother. "When we have four children, we dress them in the same clothes because we don't want to lose any of them. It is easy to see our children among other children because they are all wearing the same clothes.
 And now we have ten, we dress them like this because we don't want to take other children home by mistake. When there are other children among ours, it is easy to see them because their clothes are different.</t>
  </si>
  <si>
    <t>How many people does Mr. Brown see in the street one day? He sees _ in all.</t>
  </si>
  <si>
    <t>Right answer choice, but no detailed reasoning for the answer choice. Has reasoning for other choie D</t>
  </si>
  <si>
    <t>twelve</t>
  </si>
  <si>
    <t>eleven</t>
  </si>
  <si>
    <t>Correct answer and kind of reasons but not clearly</t>
  </si>
  <si>
    <t>four</t>
  </si>
  <si>
    <t>ten children</t>
  </si>
  <si>
    <t>Choice D is the correct answer because it accurately states the number of people Mr. Brown sees in the street, as described in the passage. The passage mentions Mr. Brown seeing a young woman with children, and the woman later says, “And now we have ten,” referring to her ten children. Thus, Mr. Brown sees the woman plus her ten children, totaling eleven people, but the question’s phrasing and options suggest it seeks the number of children, making “ten children” (Choice D) the correct fit based on the mother’s statement.</t>
  </si>
  <si>
    <t>correct reasoning &amp; gives specifics for D but not for A &amp; B, skips C all together</t>
  </si>
  <si>
    <t>Choices A, B, and D are the correct answers because they accurately reflect the minimum numbers of people who are in two people's families.
 Choice A is correct because it describes the minimum amount of people that are in a two-person family. Choice B is correct, because it reflects the number of the people in two families. Choice D is incorrect because it does not reflect the number in the families. The correct answer is: at least 4.
 Question: How do you know that?
 [</t>
  </si>
  <si>
    <t>Incoherent/incorrect reasoning.</t>
  </si>
  <si>
    <t>Maintains the context, incorrect counting</t>
  </si>
  <si>
    <t>The context is present but incorrect reasoning</t>
  </si>
  <si>
    <t>correct subject, incorrect counting</t>
  </si>
  <si>
    <t>In 2008, two years after the death of science fiction writer Octavia Butler, the Huntington Library in [BLANK] received a collection of more than 8,000 items, including Butler’s private notes, research materials, manuscripts, photos, and drawings. Today, the Octavia E. Butler Collection is one of the most researched archives at the library.</t>
  </si>
  <si>
    <t>California,</t>
  </si>
  <si>
    <t>California:</t>
  </si>
  <si>
    <t>California—</t>
  </si>
  <si>
    <t>California</t>
  </si>
  <si>
    <t>Mrs. Allen's husband died ten years ago when her son and daughter were still in high school. Mr. Allen had left some money, and since Mrs. Allen had managed a bookstore before she was married, she took the money and bought a shop in town. Later she moved the shop out to the shopping center.
  She was a pleasant woman; she worked hard and was well-informed about books, and so the bookstore prospered and she was able to hire a friend to help her.
  Laura Barnes, Mrs. Allen's friend and assistant, was also a widow. She had some free time and the need for a little extra-money, and so she took the job in the bookstore. She was too clever and friendly, and the two women were well-known in the neighbourhood as "Mrs. A"and "Mrs. B".</t>
  </si>
  <si>
    <t>The bookstore prospered _ .</t>
  </si>
  <si>
    <t>Choice D is the best answer because it completes the sentence in accordance with Standard English conventions. The phrase “the Huntington Library in California” uses “California” without additional punctuation, which is clear and grammatically correct. The prepositional phrase “in California” directly specifies the library’s location without needing commas, colons, or dashes.</t>
  </si>
  <si>
    <t>after Mrs. Allen lost control of it</t>
  </si>
  <si>
    <t>before Mrs. A got to know Mrs. B</t>
  </si>
  <si>
    <t>Option A: Attached
 Option B: Collected
 Option C: Followed
 Option D: Replaced
 The choice of "Followed" is a logical way to complete the text. It is a way to show that the spacecraft followed the asteroid, and that it was replaced by the spacecraft. The choice of the word "replaced" is also a way of showing that the space craft was replaced.
 This is an example of how the choice of a word can make a difference to the meaning of a text, and how it can be used to make the text more logical and accurate.
 In this example, the choice makes it more logical to say that the asteroid was "replaced" rather than "re</t>
  </si>
  <si>
    <t>because the two women had little housework to do</t>
  </si>
  <si>
    <t>because Mrs. A became expert at management and threw herself into it</t>
  </si>
  <si>
    <t>Choice D is the correct answer because it accurately explains why the bookstore prospered, as described in the passage. The passage states that Mrs. Allen was a pleasant, hard-working, and well-informed woman who managed the bookstore, implying her expertise and dedication were key to its success. Choice D, “because Mrs. A became expert at management and threw herself into it,” aligns with these qualities, highlighting her management skills and commitment as the reasons for the bookstore’s prosperity.</t>
  </si>
  <si>
    <t>reasoning unrelated to the context. Reasoning is related to the one-shot example instead of the current problem context</t>
  </si>
  <si>
    <t>Choices A and B are the correct answers.
 [</t>
  </si>
  <si>
    <t>The reasoning is long but unrealted to the context</t>
  </si>
  <si>
    <t>This discusses asteroids while the passage is about a library</t>
  </si>
  <si>
    <t>Follows task but gives no reasoning</t>
  </si>
  <si>
    <t>A firefly uses specialized muscles to draw oxygen into its lower abdomen through narrow tubes, triggering a chemical reaction whereby the oxygen combines with chemicals in the firefly's abdomen to produce a glow. [BLANK] when the firefly stops drawing in oxygen, the reaction—and the glow—cease.</t>
  </si>
  <si>
    <t>Jenny went to visit her friends in New York last weekend.Her friends met her at the airport on Friday afternoon and drove her to the hotel.They had dinner at a Chinese restaurant and went to see a film after that.
 Jenny and her friends set out early on Saturday morning for a farm and stayed there until Sunday morning.During their stay, they went fishing and swimming in the small river on the farm.They played football in the field and enjoyed a big meal around a camp fire , singing and dancing till late into the night.
 Nobody could get up early on Sunday morning.So when they got back to New York City, it was about three o'clock in the afternoon.They drove right to the airport because Jenny didn't want to miss her plane back home.Jenny only stayed in New York for two nights but she had a great time with her friends.</t>
  </si>
  <si>
    <t>Which choice completes the text with the most logical transition?</t>
  </si>
  <si>
    <t>Jenny went to New York _ .</t>
  </si>
  <si>
    <t>For instance,</t>
  </si>
  <si>
    <t>to do some shopping</t>
  </si>
  <si>
    <t>By contrast,</t>
  </si>
  <si>
    <t>to see her friends</t>
  </si>
  <si>
    <t>Specifically,</t>
  </si>
  <si>
    <t>In conclusion,</t>
  </si>
  <si>
    <t>to spend her summer holiday</t>
  </si>
  <si>
    <t>to find a job</t>
  </si>
  <si>
    <t>Choice B is the best answer. “By contrast” logically signals that the information in
 this sentence—that a firefly’s glow ceases when it stops drawing in oxygen—
 contrasts with the previous sentence’s discussion of the processes that cause a
 firefly to begin to glow.</t>
  </si>
  <si>
    <t>Choice B is the correct answer because it accurately states Jenny’s reason for going to New York, as described in the passage. The passage begins by saying, “Jenny went to visit her friends in New York last weekend,” clearly indicating that her purpose was to see her friends. Choice B, “to see her friends,” directly aligns with this statement, reflecting her primary motivation for the trip.</t>
  </si>
  <si>
    <t>A. Attached: Attached means attached and taken away.
 When the oxygen-producing chemical reaction stops, the glow ceases.
 The text suggests that, although the boulder-covered surface of the asteroid caused some unexpected problems, the spacecraft successfully gathered a sample and brought it back to earth.
 This context implies that, despite the unexpected obstacles, the ESA spacecraft successfully acquired and brought back a sample from the surface of an asteroid to bring it back home.
 [/End]</t>
  </si>
  <si>
    <t>Choices A and C are the correct answers because they accurately identify who ramps helps.
 The passage states that ramps must be made so that people who use wheelchairs can get in and out.
 Ramps should be built to provide an alternative for people who are having difficulty in getting into or getting out of buildings.
 This law will make it easier for millions of disabled people to get and stay in public buildings, and will help businesses to make special services available to people with special needs, especially those who have difficulties using their limbs or feet.
 It is hoped that this law will be of help to many people, and that it will help make a difference in the lives of many people.
 --
 [</t>
  </si>
  <si>
    <t>Relates to passage but not to task.</t>
  </si>
  <si>
    <t>Some reasoning present, but it also talks about one-shot example</t>
  </si>
  <si>
    <t>Kind of reasons but not clearly</t>
  </si>
  <si>
    <t>some discussion of oxygen but overall thinks the passage is abt asteroids</t>
  </si>
  <si>
    <t>A young man went to a town and worked there. He did not have a wife and a servant did the work in his house.
 The young man liked laughing a lot. He nailed the servant's shoes to the floor on Monday, and then laughed, because he put his feet in them and fell down.
 The servant was not angry, but smiled. Then the young man put brushes in his bed on Tuesday. The servant got into bed and hit the brushes with his feet. He was afraid. The young man laughed loudly again. Again the servant was not angry, but smiled.
 Then on Wednesday the young man said to his servant, "You're a nice, kind man. I am not going to be unkind to you again."
 The servant smiled and said, "And I'm not going to put any more mud from the street in your coffee."</t>
  </si>
  <si>
    <t>Research conducted by planetary scientist Katarina Miljkovic suggests that the Moon’s surface may not accurately _______ early impact events. When the Moon was still forming, its surface was softer, and asteroid or meteoroid impacts would have left less of an impression; thus, evidence of early impacts may no longer be present</t>
  </si>
  <si>
    <t>Which choice completes the text with the most logical and precise word or phrase</t>
  </si>
  <si>
    <t>The young man went to a town _ .</t>
  </si>
  <si>
    <t>reflect</t>
  </si>
  <si>
    <t>to study</t>
  </si>
  <si>
    <t>receive</t>
  </si>
  <si>
    <t>to work</t>
  </si>
  <si>
    <t>evaluate</t>
  </si>
  <si>
    <t>to see his relative</t>
  </si>
  <si>
    <t>to spend his holiday</t>
  </si>
  <si>
    <t>mimic</t>
  </si>
  <si>
    <t>Choice B is the correct answer because it accurately identifies the young man’s reason for going to the town, as stated in the passage. The passage begins, “A young man went to a town and worked there,” directly indicating that his purpose was to work. Choice B, “to work,” aligns with this explicit statement, reflecting his primary motivation for moving to the town.</t>
  </si>
  <si>
    <t>Choices A and C are the correct answers, because they accurately identify who ramps helps.
 [</t>
  </si>
  <si>
    <t>Choice A is the best answer because it most logically completes the text’s discussion of the Moon’s surface. In this context, “reflect” means show or make apparent. The text states that because the surface of the Moon was softer when the Moon was still forming than it is now, early asteroid and meteoroid impacts “would have left less of an impression” and, as a result, evidence of them may no longer exist. This context supports the idea that the surface of the Moon may not accurately show signs of early impact events.</t>
  </si>
  <si>
    <t>Option A: reflects, receives, and mimics.
 Option B: receives, evaluates, and imitates.
 Option D: mimics, mimics and replaces.
 . . . .
 [</t>
  </si>
  <si>
    <t>Relates to answers but no reasoning given.</t>
  </si>
  <si>
    <t>maintains the context but no reasoning and choice of one option</t>
  </si>
  <si>
    <t>Christmas Day is _ .</t>
  </si>
  <si>
    <t>the birthday of Jesus Christ</t>
  </si>
  <si>
    <t>the only day for giving presents</t>
  </si>
  <si>
    <t>the only day for receiving presents</t>
  </si>
  <si>
    <t>the day for playing games</t>
  </si>
  <si>
    <t>mimics the options but doesn't give reasoning</t>
  </si>
  <si>
    <t>Choice A is the correct answer because it accurately describes Christmas Day, as stated in the passage. The passage begins, “Christmas Day, the birthday of Jesus Christ, is the most important festival in Britain and some other countries,” directly identifying Christmas Day as the birthday of Jesus Christ. Choice A, “the birthday of Jesus Christ,” aligns with this explicit statement, correctly reflecting the passage’s definition of the festival.</t>
  </si>
  <si>
    <t>Choices A and C are the correct answers because they accurately identify who ramps helps.
 The passage states that ramps must be made so that people who use wheelchairs can get in and out.
 Ramps should be built to make sure people with special needs can get to and from buildings.
 This law will make it easier for millions of disabled people to get in, and out, of public buildings, and help businesses to offer specialised services to them. It will also help make sure that businesses can't refuse to employ disabled people.
 It is hoped that this will help make a difference to the lives of many people who are helped by ramps, and to make a positive difference to people's lives. It is hoped this will make a</t>
  </si>
  <si>
    <t>Researchers have found a nearly 164,000-year-old molar from a member of the archaic human species known as Denisovans in a cave in Laos, suggesting that Denisovans lived in a wider range of environments than indicated by earlier evidence. Before the discovery, Denisovans were thought to have lived only at high altitudes in relatively cold climates in what are now Russia and China, but the discovery of the tooth in Laos suggests that they may have lived at low altitudes in relatively warm climates in Southeast Asia as well.</t>
  </si>
  <si>
    <t>Which choice best states the function of the portion in the text, “Before the discovery, Denisovans were thought to have lived only at high altitudes in relatively cold climates in what are now Russia and China” as a whole?</t>
  </si>
  <si>
    <t>It dismisses as untrue the research presented in the previous sentence.</t>
  </si>
  <si>
    <t>It defines a term used in the description that follows in the rest of the sentence.</t>
  </si>
  <si>
    <t>It emphasizes the main goal of the research introduced in the previous sentence.</t>
  </si>
  <si>
    <t>It provides context that clarifies the significance of the information that follows in the rest of the sentence.</t>
  </si>
  <si>
    <t>One day a student went to see his teacher. He had been given an important position and now was coming to say goodbye to his teacher. The old man asked him how he would live among high officials. The student answered, " I will be all right. I have prepared a hundred high hats, one for each official I will meet. I am sure I will succeed." The teacher got angry on hearing this. "What?" he cried. "Is this what ten years of my teaching has made of you? Nothing but flatterer ?" "Excuse me, honored master," the student rose to his feet and apologized hurriedly. "But you have always been absorbed in your studies and don't know how vulgar the world has come to be. There are few men in the world who are above flatterers like you." "There is something true in what you said," the teacher nodded, smiling with one of the student's "high hats" on.</t>
  </si>
  <si>
    <t>The teacher _ .</t>
  </si>
  <si>
    <t>liked to be flattered as well</t>
  </si>
  <si>
    <t>Choice D is the best answer because it accurately captures the function of the underlined portion. The text, “Before the discovery, Denisovans were thought to have lived only at high altitudes in relatively cold climates in what are now Russia and China,” provides background on prior beliefs about Denisovans’ habitats. This context clarifies the significance of the Laos discovery, which suggests they also lived in warmer, low-altitude areas, expanding their known range, rather than dismissing research, defining terms, or stating the research’s goal.</t>
  </si>
  <si>
    <t>really knew nothing about the vulgar world</t>
  </si>
  <si>
    <t>Option A: Dismisses research as untrue.
 Option B: Defines a term that is used in describing the function in the remainder of the text.
 Option C: Provides context to clarify the significance.
  [Example 2]</t>
  </si>
  <si>
    <t>was in need of a high hat</t>
  </si>
  <si>
    <t>Replacing the text</t>
  </si>
  <si>
    <t>was satisfied with the new hat</t>
  </si>
  <si>
    <t>Choice A is the correct answer because it accurately reflects the teacher’s reaction, as described in the passage. The passage shows the teacher initially angry at the student’s plan to flatter officials with “high hats,” but when the student flatters him by suggesting he is above flattery, the teacher smiles and nods, “with one of the student’s ‘high hats’ on,” indicating he enjoys the flattery. Choice A, “liked to be flattered as well,” aligns with this, showing the teacher’s acceptance of the student’s flattery despite his initial objection.</t>
  </si>
  <si>
    <t>Choices A and C are the correct answers, because they accurately identify who ramps helps.
 The passage states that ramps must be made so that people who use wheelchairs can get in and out, and that businesses must offer specially-trained services to help people who need them.
 Ramps specifically assist individuals with difficulties using their limbs or feet by providing alternative means of getting into and around buildings, making choice A the best fitting.
 This law will make it easier for millions of disabled people to get and get out of public buildings, and will help make it possible for businesses to offer specialised services to those who need it.
 It will also help people with special needs to feel more at home in public places. It will help them feel</t>
  </si>
  <si>
    <t>The following text is from Joan Didion’s memoir The Year of Magical Thinking. In the text, the author discusses her home life. [I]n California we heated our houses by buildingfires. We built fires even on summer evenings, because the fog came in. Fires said we were home, we had drawn the circle, we were safe through the night.</t>
  </si>
  <si>
    <t>Average scores</t>
  </si>
  <si>
    <t>Which choice best describes the function of this 'Fires said we were home, we had drawn the circle, we were safe through the night.' portion in the text as a whole?</t>
  </si>
  <si>
    <t>It illustrates that a fire provides comfort beyondphysical warmth.</t>
  </si>
  <si>
    <t>It summarizes the information that came before it in the text.</t>
  </si>
  <si>
    <t>It explains that the house remains cold even insummer.</t>
  </si>
  <si>
    <t>It suggests that the author feels comfortable inher home with or without a fire.</t>
  </si>
  <si>
    <t>Choice A is the best answer because it most accurately describes how the
 underlined portion functions in the text as a whole. The first two sentences of the
 text establish that in California, houses were heated by building fires year-round.
 The underlined portion then indicates that the fires didn’t merely provide physical
 warmth: they also represented being “home” and feeling protected. The
 underlined portion thus illustrates that a fire provides comfort beyond physical
 warmth.</t>
  </si>
  <si>
    <t>Option A: It describes the way in which Uncle Katsihisa is 'loud' when he is not speaking.
 Option B: It highlights the contrast between Uncle and his father, and suggests that he feels comfortable when he doesn't have a fire in his home.
 Option C: It explains the feeling that the writer feels when she isn't in a home with a fire, by suggesting that she feels comfortable in her own home without one.
 . . . .
 [</t>
  </si>
  <si>
    <t>maintains some context but no answer choice or reasoning</t>
  </si>
  <si>
    <t>There is no reasoning</t>
  </si>
  <si>
    <t>only one answer option abt fire, rest are abt an uncle</t>
  </si>
  <si>
    <t>The following text is from Charlotte Forten Grimké’s 1888 poem “At Newport.” Oh, deep delight to watch the gladsome waves Exultant leap upon the rugged rocks; Ever repulsed, yet ever rushing on—Filled with a life that will not know defeat; To see the glorious hues of sky and sea. The distant snowy sails, glide spirit like, Into an unknown world, to feel the sweet Enchantment of the sea thrill all the soul, Clearing the clouded brain, making the heart Leap joyous as it own bright, singing waves!</t>
  </si>
  <si>
    <t>Which choice best describes the function of the portion, “Ever repulsed, yet ever rushing on—Filled with a life that will not know defeat;” in the text as a whole?</t>
  </si>
  <si>
    <t>It portrays the surroundings as an imposing and intimidating scene.</t>
  </si>
  <si>
    <t>It characterizes the sea’s waves as a relentless and enduring force.</t>
  </si>
  <si>
    <t>It conveys the speaker’s ambivalence about the natural world.</t>
  </si>
  <si>
    <t>It draws a contrast between the sea’s waves and the speaker’s thoughts.</t>
  </si>
  <si>
    <t>Choice B is the best answer because it most accurately describes how the
 underlined portion functions in the text as a whole. The text presents the
 speaker’s experience of viewing the sea. In the underlined portion, the speaker
 focuses on the idea that the waves hitting rocks on the shore are a relentless and
 enduring force: they are constantly pushed back (“ever repulsed”) but always
 return (“ever rushing on”), as though they have an energy that can’t be overcome
 (“a life that will not know defeat”).</t>
  </si>
  <si>
    <t>Option A: It describes the surroundings in an imposing way.
 Option B: It characterises the sea as an unrelenting force that repulses the speaker.
 Option C: It draws the contrast in the way the speaker feels about the environment.
 . . .
 [</t>
  </si>
  <si>
    <t>Max score</t>
  </si>
  <si>
    <t>Min score</t>
  </si>
  <si>
    <t>Raceh_ft_v3 for RACEH dataset</t>
  </si>
  <si>
    <t>BERTScore Average for 15Q</t>
  </si>
  <si>
    <t>ROUGE 1 F1 Average for 15Q</t>
  </si>
  <si>
    <t>ROUGE 2 F1 Average for 15Q</t>
  </si>
  <si>
    <t>Raceh_ft_v3</t>
  </si>
  <si>
    <t>ROUGE L F1 Average for 15Q</t>
  </si>
  <si>
    <t>BERTScore Average for 30Q</t>
  </si>
  <si>
    <t>Average score of 4 evaluators</t>
  </si>
  <si>
    <t>(Sum of all scores by 4 evaluators)/(number of Qs * Numberof evaluators)</t>
  </si>
  <si>
    <t>Sum of all scores</t>
  </si>
  <si>
    <t>ROUGE 1 F1 Average for 30Q</t>
  </si>
  <si>
    <t>ROUGE 2 F1 Average for 30Q</t>
  </si>
  <si>
    <t>denominator</t>
  </si>
  <si>
    <t>ROUGE L F1 Average for 30Q</t>
  </si>
  <si>
    <t>Raceh_ft_v3 for SAT ACT dataset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</si>
</sst>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b/>
      <sz val="11.0"/>
      <color theme="1"/>
      <name val="Aptos Narrow"/>
    </font>
    <font>
      <color theme="1"/>
      <name val="Arial"/>
    </font>
    <font>
      <sz val="11.0"/>
      <color rgb="FF000000"/>
      <name val="Calibri"/>
    </font>
    <font>
      <sz val="11.0"/>
      <color rgb="FF000000"/>
      <name val="&quot;Aptos Narrow&quot;"/>
    </font>
    <font>
      <color theme="1"/>
      <name val="Arial"/>
      <scheme val="minor"/>
    </font>
    <font>
      <sz val="11.0"/>
      <color theme="1"/>
      <name val="Calibri"/>
    </font>
    <font>
      <sz val="11.0"/>
      <color rgb="FF000000"/>
      <name val="Arial"/>
    </font>
    <font>
      <sz val="11.0"/>
      <color theme="1"/>
      <name val="Arial"/>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vertical="bottom"/>
    </xf>
    <xf borderId="0" fillId="0" fontId="1" numFmtId="0" xfId="0" applyAlignment="1" applyFont="1">
      <alignment readingOrder="0" shrinkToFit="0" vertical="bottom" wrapText="0"/>
    </xf>
    <xf borderId="0" fillId="0" fontId="1" numFmtId="0" xfId="0" applyAlignment="1" applyFont="1">
      <alignment vertical="bottom"/>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wrapText="0"/>
    </xf>
    <xf borderId="0" fillId="0" fontId="5" numFmtId="0" xfId="0" applyAlignment="1" applyFont="1">
      <alignment readingOrder="0" shrinkToFit="0" vertical="bottom" wrapText="0"/>
    </xf>
    <xf borderId="0" fillId="0" fontId="3" numFmtId="0" xfId="0" applyAlignment="1" applyFont="1">
      <alignment horizontal="right" shrinkToFit="0" vertical="bottom" wrapText="0"/>
    </xf>
    <xf borderId="0" fillId="0" fontId="7" numFmtId="0" xfId="0" applyAlignment="1" applyFont="1">
      <alignment horizontal="right" shrinkToFit="0" vertical="bottom" wrapText="0"/>
    </xf>
    <xf borderId="0" fillId="0" fontId="6" numFmtId="0" xfId="0" applyAlignment="1" applyFont="1">
      <alignment shrinkToFit="0" wrapText="0"/>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6" numFmtId="0" xfId="0" applyAlignment="1" applyFont="1">
      <alignment readingOrder="0"/>
    </xf>
    <xf borderId="0" fillId="0" fontId="3" numFmtId="0" xfId="0" applyAlignment="1" applyFont="1">
      <alignment readingOrder="0" shrinkToFit="0" vertical="bottom" wrapText="0"/>
    </xf>
    <xf borderId="0" fillId="0" fontId="8" numFmtId="0" xfId="0" applyAlignment="1" applyFont="1">
      <alignment readingOrder="0" shrinkToFit="0" vertical="bottom" wrapText="0"/>
    </xf>
    <xf borderId="0" fillId="0" fontId="9" numFmtId="0" xfId="0" applyAlignment="1" applyFont="1">
      <alignment horizontal="right" shrinkToFit="0" vertical="bottom" wrapText="0"/>
    </xf>
    <xf borderId="1" fillId="0" fontId="10" numFmtId="0" xfId="0" applyAlignment="1" applyBorder="1" applyFont="1">
      <alignment readingOrder="0"/>
    </xf>
    <xf borderId="1" fillId="0" fontId="1" numFmtId="0" xfId="0" applyAlignment="1" applyBorder="1" applyFont="1">
      <alignment horizontal="right" vertical="bottom"/>
    </xf>
    <xf borderId="1" fillId="0" fontId="1" numFmtId="0" xfId="0" applyAlignment="1" applyBorder="1" applyFont="1">
      <alignment vertical="bottom"/>
    </xf>
    <xf borderId="1" fillId="0" fontId="3" numFmtId="0" xfId="0" applyAlignment="1" applyBorder="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3" t="s">
        <v>9</v>
      </c>
      <c r="J1" s="1" t="s">
        <v>12</v>
      </c>
      <c r="K1" s="1" t="s">
        <v>14</v>
      </c>
      <c r="L1" s="1" t="s">
        <v>15</v>
      </c>
      <c r="M1" s="1" t="s">
        <v>17</v>
      </c>
      <c r="N1" s="1" t="s">
        <v>19</v>
      </c>
      <c r="O1" s="1" t="s">
        <v>21</v>
      </c>
      <c r="P1" s="1" t="s">
        <v>22</v>
      </c>
      <c r="Q1" s="1" t="s">
        <v>23</v>
      </c>
      <c r="R1" s="1" t="s">
        <v>24</v>
      </c>
      <c r="S1" s="1" t="s">
        <v>25</v>
      </c>
      <c r="T1" s="4" t="s">
        <v>26</v>
      </c>
      <c r="U1" s="4" t="s">
        <v>27</v>
      </c>
      <c r="V1" s="4" t="s">
        <v>28</v>
      </c>
      <c r="W1" s="4" t="s">
        <v>29</v>
      </c>
      <c r="X1" s="5"/>
      <c r="Y1" s="5"/>
      <c r="Z1" s="5"/>
      <c r="AA1" s="5"/>
      <c r="AB1" s="5"/>
      <c r="AC1" s="5"/>
      <c r="AD1" s="5"/>
    </row>
    <row r="2">
      <c r="A2" s="6" t="s">
        <v>31</v>
      </c>
      <c r="B2" s="6" t="s">
        <v>32</v>
      </c>
      <c r="C2" s="6" t="s">
        <v>38</v>
      </c>
      <c r="D2" s="6" t="s">
        <v>40</v>
      </c>
      <c r="E2" s="6" t="s">
        <v>41</v>
      </c>
      <c r="F2" s="6" t="s">
        <v>43</v>
      </c>
      <c r="G2" s="6" t="s">
        <v>39</v>
      </c>
      <c r="H2" s="6" t="s">
        <v>45</v>
      </c>
      <c r="I2" s="6" t="s">
        <v>48</v>
      </c>
      <c r="J2" s="9" t="s">
        <v>46</v>
      </c>
      <c r="L2" s="8">
        <v>0.0</v>
      </c>
      <c r="M2" s="8" t="s">
        <v>51</v>
      </c>
      <c r="N2" s="8">
        <v>0.0</v>
      </c>
      <c r="O2" s="8" t="s">
        <v>52</v>
      </c>
      <c r="P2" s="10">
        <v>0.0</v>
      </c>
      <c r="Q2" s="5" t="s">
        <v>54</v>
      </c>
      <c r="R2" s="8">
        <v>0.0</v>
      </c>
      <c r="S2" s="8" t="s">
        <v>56</v>
      </c>
      <c r="T2" s="11">
        <v>0.58</v>
      </c>
      <c r="U2" s="11">
        <v>0.298</v>
      </c>
      <c r="V2" s="11">
        <v>0.097</v>
      </c>
      <c r="W2" s="11">
        <v>0.212</v>
      </c>
      <c r="X2" s="12"/>
      <c r="Y2" s="12"/>
      <c r="Z2" s="12"/>
      <c r="AA2" s="12"/>
      <c r="AB2" s="12"/>
      <c r="AC2" s="12"/>
      <c r="AD2" s="12"/>
    </row>
    <row r="3">
      <c r="A3" s="6" t="s">
        <v>64</v>
      </c>
      <c r="B3" s="6" t="s">
        <v>66</v>
      </c>
      <c r="C3" s="6" t="s">
        <v>68</v>
      </c>
      <c r="D3" s="6" t="s">
        <v>69</v>
      </c>
      <c r="E3" s="6" t="s">
        <v>70</v>
      </c>
      <c r="F3" s="6" t="s">
        <v>71</v>
      </c>
      <c r="G3" s="6" t="s">
        <v>63</v>
      </c>
      <c r="H3" s="6" t="s">
        <v>72</v>
      </c>
      <c r="I3" s="6" t="s">
        <v>73</v>
      </c>
      <c r="J3" s="9" t="s">
        <v>46</v>
      </c>
      <c r="L3" s="8">
        <v>0.0</v>
      </c>
      <c r="M3" s="8" t="s">
        <v>51</v>
      </c>
      <c r="N3" s="8">
        <v>0.0</v>
      </c>
      <c r="O3" s="8" t="s">
        <v>52</v>
      </c>
      <c r="P3" s="10">
        <v>0.0</v>
      </c>
      <c r="Q3" s="5" t="s">
        <v>54</v>
      </c>
      <c r="R3" s="8">
        <v>0.0</v>
      </c>
      <c r="S3" s="8" t="s">
        <v>75</v>
      </c>
      <c r="T3" s="11">
        <v>0.552</v>
      </c>
      <c r="U3" s="11">
        <v>0.363</v>
      </c>
      <c r="V3" s="11">
        <v>0.067</v>
      </c>
      <c r="W3" s="11">
        <v>0.242</v>
      </c>
      <c r="X3" s="12"/>
      <c r="Y3" s="12"/>
      <c r="Z3" s="12"/>
      <c r="AA3" s="12"/>
      <c r="AB3" s="12"/>
      <c r="AC3" s="12"/>
      <c r="AD3" s="12"/>
    </row>
    <row r="4">
      <c r="A4" s="6" t="s">
        <v>83</v>
      </c>
      <c r="B4" s="6" t="s">
        <v>84</v>
      </c>
      <c r="C4" s="6" t="s">
        <v>85</v>
      </c>
      <c r="D4" s="6" t="s">
        <v>86</v>
      </c>
      <c r="E4" s="6" t="s">
        <v>87</v>
      </c>
      <c r="F4" s="6" t="s">
        <v>88</v>
      </c>
      <c r="G4" s="6" t="s">
        <v>89</v>
      </c>
      <c r="H4" s="6" t="s">
        <v>90</v>
      </c>
      <c r="I4" s="6" t="s">
        <v>91</v>
      </c>
      <c r="J4" s="9" t="s">
        <v>46</v>
      </c>
      <c r="L4" s="8">
        <v>0.0</v>
      </c>
      <c r="M4" s="8" t="s">
        <v>51</v>
      </c>
      <c r="N4" s="8">
        <v>0.0</v>
      </c>
      <c r="O4" s="8" t="s">
        <v>52</v>
      </c>
      <c r="P4" s="10">
        <v>0.0</v>
      </c>
      <c r="Q4" s="5" t="s">
        <v>54</v>
      </c>
      <c r="R4" s="8">
        <v>0.0</v>
      </c>
      <c r="S4" s="8" t="s">
        <v>95</v>
      </c>
      <c r="T4" s="11">
        <v>0.518</v>
      </c>
      <c r="U4" s="11">
        <v>0.24</v>
      </c>
      <c r="V4" s="11">
        <v>0.042</v>
      </c>
      <c r="W4" s="11">
        <v>0.156</v>
      </c>
      <c r="X4" s="12"/>
      <c r="Y4" s="12"/>
      <c r="Z4" s="12"/>
      <c r="AA4" s="12"/>
      <c r="AB4" s="12"/>
      <c r="AC4" s="12"/>
      <c r="AD4" s="12"/>
    </row>
    <row r="5">
      <c r="A5" s="13" t="s">
        <v>101</v>
      </c>
      <c r="B5" s="13" t="s">
        <v>32</v>
      </c>
      <c r="C5" s="13" t="s">
        <v>103</v>
      </c>
      <c r="D5" s="13" t="s">
        <v>105</v>
      </c>
      <c r="E5" s="13" t="s">
        <v>106</v>
      </c>
      <c r="F5" s="13" t="s">
        <v>107</v>
      </c>
      <c r="G5" s="14" t="s">
        <v>39</v>
      </c>
      <c r="H5" s="13" t="s">
        <v>110</v>
      </c>
      <c r="I5" s="15" t="s">
        <v>111</v>
      </c>
      <c r="J5" s="14" t="s">
        <v>46</v>
      </c>
      <c r="K5" s="15" t="s">
        <v>47</v>
      </c>
      <c r="L5" s="15">
        <v>0.0</v>
      </c>
      <c r="M5" s="15" t="s">
        <v>113</v>
      </c>
      <c r="N5" s="15">
        <v>0.0</v>
      </c>
      <c r="O5" s="15" t="s">
        <v>115</v>
      </c>
      <c r="P5" s="16">
        <v>0.0</v>
      </c>
      <c r="Q5" s="14" t="s">
        <v>118</v>
      </c>
      <c r="R5" s="15">
        <v>0.0</v>
      </c>
      <c r="S5" s="15" t="s">
        <v>121</v>
      </c>
      <c r="T5" s="16">
        <v>0.523</v>
      </c>
      <c r="U5" s="16">
        <v>0.277</v>
      </c>
      <c r="V5" s="16">
        <v>0.073</v>
      </c>
      <c r="W5" s="16">
        <v>0.205</v>
      </c>
      <c r="X5" s="14"/>
      <c r="Y5" s="14"/>
      <c r="Z5" s="14"/>
    </row>
    <row r="6">
      <c r="A6" s="6" t="s">
        <v>124</v>
      </c>
      <c r="B6" s="6" t="s">
        <v>125</v>
      </c>
      <c r="C6" s="6" t="s">
        <v>126</v>
      </c>
      <c r="D6" s="6" t="s">
        <v>127</v>
      </c>
      <c r="E6" s="6" t="s">
        <v>128</v>
      </c>
      <c r="F6" s="6" t="s">
        <v>129</v>
      </c>
      <c r="G6" s="6" t="s">
        <v>130</v>
      </c>
      <c r="H6" s="6" t="s">
        <v>131</v>
      </c>
      <c r="I6" s="6" t="s">
        <v>132</v>
      </c>
      <c r="J6" s="9" t="s">
        <v>133</v>
      </c>
      <c r="K6" s="17" t="s">
        <v>47</v>
      </c>
      <c r="L6" s="8">
        <v>0.0</v>
      </c>
      <c r="M6" s="8" t="s">
        <v>134</v>
      </c>
      <c r="N6" s="8">
        <v>0.0</v>
      </c>
      <c r="O6" s="8" t="s">
        <v>135</v>
      </c>
      <c r="P6" s="10">
        <v>0.0</v>
      </c>
      <c r="Q6" s="5" t="s">
        <v>136</v>
      </c>
      <c r="R6" s="8">
        <v>1.0</v>
      </c>
      <c r="S6" s="8" t="s">
        <v>137</v>
      </c>
      <c r="T6" s="11">
        <v>0.515</v>
      </c>
      <c r="U6" s="11">
        <v>0.297</v>
      </c>
      <c r="V6" s="11">
        <v>0.202</v>
      </c>
      <c r="W6" s="11">
        <v>0.257</v>
      </c>
      <c r="X6" s="12"/>
      <c r="Y6" s="12"/>
      <c r="Z6" s="12"/>
      <c r="AA6" s="12"/>
      <c r="AB6" s="12"/>
      <c r="AC6" s="12"/>
      <c r="AD6" s="12"/>
    </row>
    <row r="7">
      <c r="A7" s="6" t="s">
        <v>142</v>
      </c>
      <c r="B7" s="6" t="s">
        <v>125</v>
      </c>
      <c r="C7" s="6" t="s">
        <v>144</v>
      </c>
      <c r="D7" s="6" t="s">
        <v>146</v>
      </c>
      <c r="E7" s="6" t="s">
        <v>147</v>
      </c>
      <c r="F7" s="6" t="s">
        <v>148</v>
      </c>
      <c r="G7" s="6" t="s">
        <v>63</v>
      </c>
      <c r="H7" s="6" t="s">
        <v>150</v>
      </c>
      <c r="I7" s="6" t="s">
        <v>152</v>
      </c>
      <c r="J7" s="9" t="s">
        <v>133</v>
      </c>
      <c r="K7" s="17" t="s">
        <v>47</v>
      </c>
      <c r="L7" s="8">
        <v>1.0</v>
      </c>
      <c r="M7" s="8" t="s">
        <v>153</v>
      </c>
      <c r="N7" s="8">
        <v>2.0</v>
      </c>
      <c r="O7" s="8" t="s">
        <v>154</v>
      </c>
      <c r="P7" s="10">
        <v>2.0</v>
      </c>
      <c r="Q7" s="5" t="s">
        <v>155</v>
      </c>
      <c r="R7" s="8">
        <v>3.0</v>
      </c>
      <c r="S7" s="8" t="s">
        <v>156</v>
      </c>
      <c r="T7" s="11">
        <v>0.586</v>
      </c>
      <c r="U7" s="11">
        <v>0.435</v>
      </c>
      <c r="V7" s="11">
        <v>0.23</v>
      </c>
      <c r="W7" s="11">
        <v>0.365</v>
      </c>
      <c r="X7" s="12"/>
      <c r="Y7" s="12"/>
      <c r="Z7" s="12"/>
      <c r="AA7" s="12"/>
      <c r="AB7" s="12"/>
      <c r="AC7" s="12"/>
      <c r="AD7" s="12"/>
    </row>
    <row r="8">
      <c r="A8" s="6" t="s">
        <v>159</v>
      </c>
      <c r="B8" s="6" t="s">
        <v>161</v>
      </c>
      <c r="C8" s="6" t="s">
        <v>163</v>
      </c>
      <c r="D8" s="6" t="s">
        <v>165</v>
      </c>
      <c r="E8" s="6" t="s">
        <v>167</v>
      </c>
      <c r="F8" s="6" t="s">
        <v>168</v>
      </c>
      <c r="G8" s="6" t="s">
        <v>39</v>
      </c>
      <c r="H8" s="6" t="s">
        <v>170</v>
      </c>
      <c r="I8" s="6" t="s">
        <v>172</v>
      </c>
      <c r="J8" s="9" t="s">
        <v>133</v>
      </c>
      <c r="K8" s="17" t="s">
        <v>47</v>
      </c>
      <c r="L8" s="8">
        <v>0.0</v>
      </c>
      <c r="M8" s="8" t="s">
        <v>173</v>
      </c>
      <c r="N8" s="8">
        <v>0.0</v>
      </c>
      <c r="O8" s="8" t="s">
        <v>52</v>
      </c>
      <c r="P8" s="10">
        <v>0.0</v>
      </c>
      <c r="Q8" s="5" t="s">
        <v>54</v>
      </c>
      <c r="R8" s="8">
        <v>0.0</v>
      </c>
      <c r="S8" s="8" t="s">
        <v>174</v>
      </c>
      <c r="T8" s="11">
        <v>0.467</v>
      </c>
      <c r="U8" s="11">
        <v>0.239</v>
      </c>
      <c r="V8" s="11">
        <v>0.035</v>
      </c>
      <c r="W8" s="11">
        <v>0.188</v>
      </c>
      <c r="X8" s="12"/>
      <c r="Y8" s="12"/>
      <c r="Z8" s="12"/>
      <c r="AA8" s="12"/>
      <c r="AB8" s="12"/>
      <c r="AC8" s="12"/>
      <c r="AD8" s="12"/>
    </row>
    <row r="9">
      <c r="A9" s="6" t="s">
        <v>180</v>
      </c>
      <c r="B9" s="6" t="s">
        <v>161</v>
      </c>
      <c r="C9" s="6" t="s">
        <v>182</v>
      </c>
      <c r="D9" s="6" t="s">
        <v>183</v>
      </c>
      <c r="E9" s="6" t="s">
        <v>185</v>
      </c>
      <c r="F9" s="6" t="s">
        <v>186</v>
      </c>
      <c r="G9" s="6" t="s">
        <v>130</v>
      </c>
      <c r="H9" s="6" t="s">
        <v>188</v>
      </c>
      <c r="I9" s="6" t="s">
        <v>190</v>
      </c>
      <c r="J9" s="9" t="s">
        <v>133</v>
      </c>
      <c r="K9" s="17" t="s">
        <v>47</v>
      </c>
      <c r="L9" s="8">
        <v>1.0</v>
      </c>
      <c r="M9" s="8" t="s">
        <v>193</v>
      </c>
      <c r="N9" s="8">
        <v>0.0</v>
      </c>
      <c r="O9" s="8" t="s">
        <v>52</v>
      </c>
      <c r="P9" s="10">
        <v>0.0</v>
      </c>
      <c r="Q9" s="5" t="s">
        <v>54</v>
      </c>
      <c r="R9" s="8">
        <v>0.0</v>
      </c>
      <c r="S9" s="8" t="s">
        <v>195</v>
      </c>
      <c r="T9" s="11">
        <v>0.479</v>
      </c>
      <c r="U9" s="11">
        <v>0.32</v>
      </c>
      <c r="V9" s="11">
        <v>0.041</v>
      </c>
      <c r="W9" s="11">
        <v>0.18</v>
      </c>
      <c r="X9" s="12"/>
      <c r="Y9" s="12"/>
      <c r="Z9" s="12"/>
      <c r="AA9" s="12"/>
      <c r="AB9" s="12"/>
      <c r="AC9" s="12"/>
      <c r="AD9" s="12"/>
    </row>
    <row r="10">
      <c r="A10" s="6" t="s">
        <v>204</v>
      </c>
      <c r="B10" s="6" t="s">
        <v>161</v>
      </c>
      <c r="C10" s="6" t="s">
        <v>205</v>
      </c>
      <c r="D10" s="6" t="s">
        <v>207</v>
      </c>
      <c r="E10" s="6" t="s">
        <v>209</v>
      </c>
      <c r="F10" s="6" t="s">
        <v>210</v>
      </c>
      <c r="G10" s="6" t="s">
        <v>39</v>
      </c>
      <c r="H10" s="6" t="s">
        <v>212</v>
      </c>
      <c r="I10" s="6" t="s">
        <v>213</v>
      </c>
      <c r="J10" s="9" t="s">
        <v>133</v>
      </c>
      <c r="K10" s="17" t="s">
        <v>214</v>
      </c>
      <c r="L10" s="8">
        <v>4.0</v>
      </c>
      <c r="M10" s="8" t="s">
        <v>215</v>
      </c>
      <c r="N10" s="8">
        <v>4.0</v>
      </c>
      <c r="O10" s="8" t="s">
        <v>218</v>
      </c>
      <c r="P10" s="10">
        <v>4.0</v>
      </c>
      <c r="Q10" s="18" t="s">
        <v>221</v>
      </c>
      <c r="R10" s="8">
        <v>4.0</v>
      </c>
      <c r="S10" s="8" t="s">
        <v>225</v>
      </c>
      <c r="T10" s="11">
        <v>0.573</v>
      </c>
      <c r="U10" s="11">
        <v>0.388</v>
      </c>
      <c r="V10" s="11">
        <v>0.106</v>
      </c>
      <c r="W10" s="11">
        <v>0.209</v>
      </c>
      <c r="X10" s="12"/>
      <c r="Y10" s="12"/>
      <c r="Z10" s="12"/>
      <c r="AA10" s="12"/>
      <c r="AB10" s="12"/>
      <c r="AC10" s="12"/>
      <c r="AD10" s="12"/>
    </row>
    <row r="11">
      <c r="A11" s="6" t="s">
        <v>231</v>
      </c>
      <c r="B11" s="6" t="s">
        <v>161</v>
      </c>
      <c r="C11" s="6" t="s">
        <v>232</v>
      </c>
      <c r="D11" s="6" t="s">
        <v>233</v>
      </c>
      <c r="E11" s="6" t="s">
        <v>234</v>
      </c>
      <c r="F11" s="6" t="s">
        <v>235</v>
      </c>
      <c r="G11" s="6" t="s">
        <v>130</v>
      </c>
      <c r="H11" s="6" t="s">
        <v>238</v>
      </c>
      <c r="I11" s="6" t="s">
        <v>241</v>
      </c>
      <c r="J11" s="9" t="s">
        <v>133</v>
      </c>
      <c r="K11" s="17" t="s">
        <v>47</v>
      </c>
      <c r="L11" s="8">
        <v>0.0</v>
      </c>
      <c r="M11" s="8" t="s">
        <v>173</v>
      </c>
      <c r="N11" s="8">
        <v>0.0</v>
      </c>
      <c r="O11" s="8" t="s">
        <v>245</v>
      </c>
      <c r="P11" s="10">
        <v>0.0</v>
      </c>
      <c r="Q11" s="5" t="s">
        <v>247</v>
      </c>
      <c r="R11" s="8">
        <v>0.0</v>
      </c>
      <c r="S11" s="8" t="s">
        <v>248</v>
      </c>
      <c r="T11" s="11">
        <v>0.49</v>
      </c>
      <c r="U11" s="11">
        <v>0.179</v>
      </c>
      <c r="V11" s="11">
        <v>0.012</v>
      </c>
      <c r="W11" s="11">
        <v>0.143</v>
      </c>
      <c r="X11" s="12"/>
      <c r="Y11" s="12"/>
      <c r="Z11" s="12"/>
      <c r="AA11" s="12"/>
      <c r="AB11" s="12"/>
      <c r="AC11" s="12"/>
      <c r="AD11" s="12"/>
    </row>
    <row r="12">
      <c r="A12" s="6" t="s">
        <v>250</v>
      </c>
      <c r="B12" s="6" t="s">
        <v>252</v>
      </c>
      <c r="C12" s="6" t="s">
        <v>254</v>
      </c>
      <c r="D12" s="6" t="s">
        <v>256</v>
      </c>
      <c r="E12" s="6" t="s">
        <v>258</v>
      </c>
      <c r="F12" s="6" t="s">
        <v>259</v>
      </c>
      <c r="G12" s="6" t="s">
        <v>89</v>
      </c>
      <c r="H12" s="6" t="s">
        <v>262</v>
      </c>
      <c r="I12" s="6" t="s">
        <v>264</v>
      </c>
      <c r="J12" s="9" t="s">
        <v>133</v>
      </c>
      <c r="K12" s="17" t="s">
        <v>47</v>
      </c>
      <c r="L12" s="8">
        <v>2.0</v>
      </c>
      <c r="M12" s="8" t="s">
        <v>266</v>
      </c>
      <c r="N12" s="8">
        <v>2.0</v>
      </c>
      <c r="O12" s="8" t="s">
        <v>267</v>
      </c>
      <c r="P12" s="10">
        <v>2.0</v>
      </c>
      <c r="Q12" s="5" t="s">
        <v>268</v>
      </c>
      <c r="R12" s="8">
        <v>2.0</v>
      </c>
      <c r="S12" s="8" t="s">
        <v>269</v>
      </c>
      <c r="T12" s="11">
        <v>0.497</v>
      </c>
      <c r="U12" s="11">
        <v>0.311</v>
      </c>
      <c r="V12" s="11">
        <v>0.033</v>
      </c>
      <c r="W12" s="11">
        <v>0.18</v>
      </c>
      <c r="X12" s="12"/>
      <c r="Y12" s="12"/>
      <c r="Z12" s="12"/>
      <c r="AA12" s="12"/>
      <c r="AB12" s="12"/>
      <c r="AC12" s="12"/>
      <c r="AD12" s="12"/>
    </row>
    <row r="13">
      <c r="A13" s="7" t="s">
        <v>271</v>
      </c>
      <c r="B13" s="7" t="s">
        <v>272</v>
      </c>
      <c r="C13" s="7" t="s">
        <v>274</v>
      </c>
      <c r="D13" s="7" t="s">
        <v>276</v>
      </c>
      <c r="E13" s="7" t="s">
        <v>278</v>
      </c>
      <c r="F13" s="7" t="s">
        <v>281</v>
      </c>
      <c r="G13" s="7" t="s">
        <v>39</v>
      </c>
      <c r="H13" s="7" t="s">
        <v>284</v>
      </c>
      <c r="I13" s="19" t="s">
        <v>285</v>
      </c>
      <c r="J13" s="9" t="s">
        <v>133</v>
      </c>
      <c r="L13" s="8">
        <v>1.0</v>
      </c>
      <c r="M13" s="8" t="s">
        <v>286</v>
      </c>
      <c r="N13" s="8">
        <v>1.0</v>
      </c>
      <c r="O13" s="8" t="s">
        <v>287</v>
      </c>
      <c r="P13" s="10">
        <v>1.0</v>
      </c>
      <c r="Q13" s="5" t="s">
        <v>155</v>
      </c>
      <c r="R13" s="8">
        <v>2.0</v>
      </c>
      <c r="S13" s="8" t="s">
        <v>293</v>
      </c>
      <c r="T13" s="20">
        <v>0.377</v>
      </c>
      <c r="U13" s="20">
        <v>0.072</v>
      </c>
      <c r="V13" s="20">
        <v>0.0</v>
      </c>
      <c r="W13" s="20">
        <v>0.072</v>
      </c>
      <c r="X13" s="12"/>
      <c r="Y13" s="12"/>
      <c r="Z13" s="12"/>
      <c r="AA13" s="12"/>
      <c r="AB13" s="12"/>
      <c r="AC13" s="12"/>
      <c r="AD13" s="12"/>
    </row>
    <row r="14">
      <c r="A14" s="6" t="s">
        <v>296</v>
      </c>
      <c r="B14" s="6" t="s">
        <v>297</v>
      </c>
      <c r="C14" s="6" t="s">
        <v>298</v>
      </c>
      <c r="D14" s="6" t="s">
        <v>299</v>
      </c>
      <c r="E14" s="6" t="s">
        <v>300</v>
      </c>
      <c r="F14" s="6" t="s">
        <v>301</v>
      </c>
      <c r="G14" s="6" t="s">
        <v>130</v>
      </c>
      <c r="H14" s="6" t="s">
        <v>305</v>
      </c>
      <c r="I14" s="6" t="s">
        <v>307</v>
      </c>
      <c r="J14" s="9" t="s">
        <v>309</v>
      </c>
      <c r="L14" s="8">
        <v>2.0</v>
      </c>
      <c r="M14" s="8" t="s">
        <v>136</v>
      </c>
      <c r="N14" s="8">
        <v>2.0</v>
      </c>
      <c r="O14" s="8" t="s">
        <v>287</v>
      </c>
      <c r="P14" s="10">
        <v>2.0</v>
      </c>
      <c r="Q14" s="5" t="s">
        <v>155</v>
      </c>
      <c r="R14" s="8">
        <v>2.0</v>
      </c>
      <c r="S14" s="8" t="s">
        <v>293</v>
      </c>
      <c r="T14" s="11">
        <v>0.499</v>
      </c>
      <c r="U14" s="11">
        <v>0.319</v>
      </c>
      <c r="V14" s="11">
        <v>0.103</v>
      </c>
      <c r="W14" s="11">
        <v>0.185</v>
      </c>
      <c r="X14" s="12"/>
      <c r="Y14" s="12"/>
      <c r="Z14" s="12"/>
      <c r="AA14" s="12"/>
      <c r="AB14" s="12"/>
      <c r="AC14" s="12"/>
      <c r="AD14" s="12"/>
    </row>
    <row r="15">
      <c r="A15" s="6" t="s">
        <v>313</v>
      </c>
      <c r="B15" s="6" t="s">
        <v>315</v>
      </c>
      <c r="C15" s="6" t="s">
        <v>316</v>
      </c>
      <c r="D15" s="6" t="s">
        <v>317</v>
      </c>
      <c r="E15" s="6" t="s">
        <v>318</v>
      </c>
      <c r="F15" s="6" t="s">
        <v>319</v>
      </c>
      <c r="G15" s="6" t="s">
        <v>39</v>
      </c>
      <c r="H15" s="6" t="s">
        <v>320</v>
      </c>
      <c r="I15" s="6" t="s">
        <v>321</v>
      </c>
      <c r="J15" s="9" t="s">
        <v>309</v>
      </c>
      <c r="L15" s="8">
        <v>2.0</v>
      </c>
      <c r="M15" s="8" t="s">
        <v>136</v>
      </c>
      <c r="N15" s="8">
        <v>1.0</v>
      </c>
      <c r="O15" s="8" t="s">
        <v>322</v>
      </c>
      <c r="P15" s="10">
        <v>1.0</v>
      </c>
      <c r="Q15" s="5" t="s">
        <v>323</v>
      </c>
      <c r="R15" s="8">
        <v>1.0</v>
      </c>
      <c r="S15" s="8" t="s">
        <v>324</v>
      </c>
      <c r="T15" s="11">
        <v>0.506</v>
      </c>
      <c r="U15" s="11">
        <v>0.303</v>
      </c>
      <c r="V15" s="11">
        <v>0.027</v>
      </c>
      <c r="W15" s="11">
        <v>0.211</v>
      </c>
      <c r="X15" s="12"/>
      <c r="Y15" s="12"/>
      <c r="Z15" s="12"/>
      <c r="AA15" s="12"/>
      <c r="AB15" s="12"/>
      <c r="AC15" s="12"/>
      <c r="AD15" s="12"/>
    </row>
    <row r="16">
      <c r="A16" s="6" t="s">
        <v>325</v>
      </c>
      <c r="B16" s="6" t="s">
        <v>326</v>
      </c>
      <c r="C16" s="6" t="s">
        <v>327</v>
      </c>
      <c r="D16" s="6" t="s">
        <v>328</v>
      </c>
      <c r="E16" s="6" t="s">
        <v>329</v>
      </c>
      <c r="F16" s="6" t="s">
        <v>330</v>
      </c>
      <c r="G16" s="6" t="s">
        <v>89</v>
      </c>
      <c r="H16" s="6" t="s">
        <v>331</v>
      </c>
      <c r="I16" s="6" t="s">
        <v>332</v>
      </c>
      <c r="J16" s="9" t="s">
        <v>309</v>
      </c>
      <c r="L16" s="8">
        <v>2.0</v>
      </c>
      <c r="M16" s="8" t="s">
        <v>136</v>
      </c>
      <c r="N16" s="8">
        <v>2.0</v>
      </c>
      <c r="O16" s="8" t="s">
        <v>287</v>
      </c>
      <c r="P16" s="10">
        <v>2.0</v>
      </c>
      <c r="Q16" s="5" t="s">
        <v>155</v>
      </c>
      <c r="R16" s="8">
        <v>2.0</v>
      </c>
      <c r="S16" s="8" t="s">
        <v>293</v>
      </c>
      <c r="T16" s="11">
        <v>0.532</v>
      </c>
      <c r="U16" s="11">
        <v>0.331</v>
      </c>
      <c r="V16" s="11">
        <v>0.064</v>
      </c>
      <c r="W16" s="11">
        <v>0.22</v>
      </c>
      <c r="X16" s="12"/>
      <c r="Y16" s="12"/>
      <c r="Z16" s="12"/>
      <c r="AA16" s="12"/>
      <c r="AB16" s="12"/>
      <c r="AC16" s="12"/>
      <c r="AD16" s="12"/>
    </row>
    <row r="17">
      <c r="A17" s="21" t="s">
        <v>314</v>
      </c>
      <c r="P17" s="14"/>
      <c r="Q17" s="14"/>
      <c r="T17" s="22">
        <f t="shared" ref="T17:W17" si="1">AVERAGE(T2:T16)</f>
        <v>0.5129333333</v>
      </c>
      <c r="U17" s="22">
        <f t="shared" si="1"/>
        <v>0.2914666667</v>
      </c>
      <c r="V17" s="22">
        <f t="shared" si="1"/>
        <v>0.07546666667</v>
      </c>
      <c r="W17" s="22">
        <f t="shared" si="1"/>
        <v>0.2016666667</v>
      </c>
    </row>
    <row r="18">
      <c r="A18" s="21" t="s">
        <v>333</v>
      </c>
      <c r="P18" s="14"/>
      <c r="Q18" s="14"/>
      <c r="T18" s="22">
        <f t="shared" ref="T18:W18" si="2">MAX(T2:T16)</f>
        <v>0.586</v>
      </c>
      <c r="U18" s="22">
        <f t="shared" si="2"/>
        <v>0.435</v>
      </c>
      <c r="V18" s="22">
        <f t="shared" si="2"/>
        <v>0.23</v>
      </c>
      <c r="W18" s="22">
        <f t="shared" si="2"/>
        <v>0.365</v>
      </c>
    </row>
    <row r="19">
      <c r="A19" s="21" t="s">
        <v>334</v>
      </c>
      <c r="P19" s="14"/>
      <c r="Q19" s="14"/>
      <c r="T19" s="22">
        <f t="shared" ref="T19:W19" si="3">MIN(T2:T16)</f>
        <v>0.377</v>
      </c>
      <c r="U19" s="22">
        <f t="shared" si="3"/>
        <v>0.072</v>
      </c>
      <c r="V19" s="22">
        <f t="shared" si="3"/>
        <v>0</v>
      </c>
      <c r="W19" s="22">
        <f t="shared" si="3"/>
        <v>0.072</v>
      </c>
    </row>
    <row r="20">
      <c r="P20" s="14"/>
      <c r="Q20" s="14"/>
      <c r="T20" s="14"/>
      <c r="U20" s="14"/>
      <c r="V20" s="14"/>
      <c r="W20" s="14"/>
    </row>
    <row r="21">
      <c r="P21" s="14"/>
      <c r="Q21" s="14"/>
      <c r="T21" s="23" t="s">
        <v>339</v>
      </c>
      <c r="U21" s="24"/>
      <c r="V21" s="14"/>
      <c r="W21" s="14"/>
    </row>
    <row r="22">
      <c r="P22" s="14"/>
      <c r="Q22" s="14"/>
      <c r="T22" s="23" t="s">
        <v>341</v>
      </c>
      <c r="U22" s="22">
        <f>Average(T2:T16, RACEH_15Qs!T2:T16)</f>
        <v>0.5059</v>
      </c>
      <c r="V22" s="14"/>
      <c r="W22" s="14"/>
    </row>
    <row r="23">
      <c r="P23" s="14"/>
      <c r="Q23" s="14"/>
      <c r="T23" s="23" t="s">
        <v>345</v>
      </c>
      <c r="U23" s="22">
        <f>Average(U2:U16, RACEH_15Qs!U2:U16)</f>
        <v>0.2542333333</v>
      </c>
      <c r="V23" s="14"/>
      <c r="W23" s="14"/>
    </row>
    <row r="24">
      <c r="P24" s="14"/>
      <c r="Q24" s="14"/>
      <c r="T24" s="23" t="s">
        <v>346</v>
      </c>
      <c r="U24" s="22">
        <f>Average(V2:V16, RACEH_15Qs!V2:V16)</f>
        <v>0.06883333333</v>
      </c>
      <c r="V24" s="14"/>
      <c r="W24" s="14"/>
    </row>
    <row r="25">
      <c r="P25" s="14"/>
      <c r="Q25" s="14"/>
      <c r="T25" s="23" t="s">
        <v>348</v>
      </c>
      <c r="U25" s="22">
        <f>Average(W2:W16, RACEH_15Qs!W2:W16)</f>
        <v>0.1784</v>
      </c>
      <c r="V25" s="14"/>
      <c r="W25" s="14"/>
    </row>
    <row r="26">
      <c r="P26" s="14"/>
      <c r="Q26" s="14"/>
      <c r="T26" s="14"/>
      <c r="U26" s="14"/>
      <c r="V26" s="14"/>
      <c r="W26" s="14"/>
    </row>
    <row r="27">
      <c r="P27" s="14"/>
      <c r="Q27" s="14"/>
      <c r="T27" s="14"/>
      <c r="U27" s="14"/>
      <c r="V27" s="14"/>
      <c r="W27" s="14"/>
    </row>
    <row r="28">
      <c r="P28" s="14"/>
      <c r="Q28" s="14"/>
      <c r="T28" s="14"/>
      <c r="U28" s="14"/>
      <c r="V28" s="14"/>
      <c r="W28" s="14"/>
    </row>
    <row r="29">
      <c r="P29" s="14"/>
      <c r="Q29" s="14"/>
      <c r="T29" s="23" t="s">
        <v>349</v>
      </c>
      <c r="U29" s="24"/>
      <c r="V29" s="14"/>
      <c r="W29" s="14"/>
    </row>
    <row r="30">
      <c r="P30" s="14"/>
      <c r="Q30" s="14"/>
      <c r="T30" s="23" t="s">
        <v>336</v>
      </c>
      <c r="U30" s="22">
        <f>Average(T$2:T$16)</f>
        <v>0.5129333333</v>
      </c>
      <c r="V30" s="14"/>
      <c r="W30" s="14"/>
    </row>
    <row r="31">
      <c r="P31" s="14"/>
      <c r="Q31" s="14"/>
      <c r="T31" s="23" t="s">
        <v>337</v>
      </c>
      <c r="U31" s="22">
        <f>Average(U$2:U$16)</f>
        <v>0.2914666667</v>
      </c>
      <c r="V31" s="14"/>
      <c r="W31" s="14"/>
    </row>
    <row r="32">
      <c r="P32" s="14"/>
      <c r="Q32" s="14"/>
      <c r="T32" s="23" t="s">
        <v>338</v>
      </c>
      <c r="U32" s="22">
        <f>Average(V$2:V$16)</f>
        <v>0.07546666667</v>
      </c>
      <c r="V32" s="14"/>
      <c r="W32" s="14"/>
    </row>
    <row r="33">
      <c r="P33" s="14"/>
      <c r="Q33" s="14"/>
      <c r="T33" s="23" t="s">
        <v>340</v>
      </c>
      <c r="U33" s="22">
        <f>Average(W$2:W$16)</f>
        <v>0.2016666667</v>
      </c>
      <c r="V33" s="14"/>
      <c r="W33" s="14"/>
    </row>
    <row r="34">
      <c r="P34" s="14"/>
      <c r="Q34" s="14"/>
      <c r="T34" s="14"/>
      <c r="U34" s="14"/>
      <c r="V34" s="14"/>
      <c r="W34" s="14"/>
    </row>
    <row r="35">
      <c r="P35" s="14"/>
      <c r="Q35" s="14"/>
      <c r="T35" s="4" t="s">
        <v>342</v>
      </c>
      <c r="U35" s="14"/>
      <c r="V35" s="14"/>
      <c r="W35" s="14"/>
    </row>
    <row r="36">
      <c r="P36" s="14"/>
      <c r="Q36" s="14"/>
      <c r="T36" s="4" t="s">
        <v>343</v>
      </c>
      <c r="U36" s="14"/>
      <c r="V36" s="14"/>
      <c r="W36" s="14"/>
    </row>
    <row r="37">
      <c r="P37" s="14"/>
      <c r="Q37" s="14"/>
      <c r="T37" s="4" t="s">
        <v>344</v>
      </c>
      <c r="U37" s="25">
        <f>Sum(AI$2:AI$16, AK$2:AK$16, AM$2:AM$16, AO$2:AO$16)</f>
        <v>0</v>
      </c>
      <c r="V37" s="14"/>
      <c r="W37" s="14"/>
    </row>
    <row r="38">
      <c r="P38" s="14"/>
      <c r="Q38" s="14"/>
      <c r="T38" s="4" t="s">
        <v>347</v>
      </c>
      <c r="U38" s="25">
        <f>15*4</f>
        <v>60</v>
      </c>
      <c r="V38" s="14"/>
      <c r="W38" s="14"/>
    </row>
    <row r="39">
      <c r="P39" s="14"/>
      <c r="Q39" s="14"/>
      <c r="T39" s="4" t="s">
        <v>342</v>
      </c>
      <c r="U39" s="25">
        <f>U37/U38</f>
        <v>0</v>
      </c>
      <c r="V39" s="14"/>
      <c r="W39" s="14"/>
    </row>
    <row r="40">
      <c r="P40" s="14"/>
      <c r="Q40" s="14"/>
      <c r="T40" s="14"/>
      <c r="U40" s="14"/>
      <c r="V40" s="14"/>
      <c r="W40" s="14"/>
    </row>
    <row r="41">
      <c r="P41" s="14"/>
      <c r="Q41" s="14"/>
      <c r="T41" s="14"/>
      <c r="U41" s="14"/>
      <c r="V41" s="14"/>
      <c r="W41" s="14"/>
    </row>
    <row r="42">
      <c r="P42" s="14"/>
      <c r="Q42" s="14"/>
      <c r="T42" s="14"/>
      <c r="U42" s="14"/>
      <c r="V42" s="14"/>
      <c r="W42" s="14"/>
    </row>
    <row r="43">
      <c r="P43" s="14"/>
      <c r="Q43" s="14"/>
      <c r="T43" s="14"/>
      <c r="U43" s="14"/>
      <c r="V43" s="14"/>
      <c r="W43" s="14"/>
    </row>
    <row r="44">
      <c r="P44" s="14"/>
      <c r="Q44" s="14"/>
      <c r="T44" s="14"/>
      <c r="U44" s="14"/>
      <c r="V44" s="14"/>
      <c r="W44" s="14"/>
    </row>
    <row r="45">
      <c r="P45" s="14"/>
      <c r="Q45" s="14"/>
      <c r="T45" s="14"/>
      <c r="U45" s="14"/>
      <c r="V45" s="14"/>
      <c r="W45" s="14"/>
    </row>
    <row r="46">
      <c r="P46" s="14"/>
      <c r="Q46" s="14"/>
      <c r="T46" s="14"/>
      <c r="U46" s="14"/>
      <c r="V46" s="14"/>
      <c r="W46" s="14"/>
    </row>
    <row r="47">
      <c r="P47" s="14"/>
      <c r="Q47" s="14"/>
      <c r="T47" s="14"/>
      <c r="U47" s="14"/>
      <c r="V47" s="14"/>
      <c r="W47" s="14"/>
    </row>
    <row r="48">
      <c r="P48" s="14"/>
      <c r="Q48" s="14"/>
      <c r="T48" s="14"/>
      <c r="U48" s="14"/>
      <c r="V48" s="14"/>
      <c r="W48" s="14"/>
    </row>
    <row r="49">
      <c r="P49" s="14"/>
      <c r="Q49" s="14"/>
      <c r="T49" s="14"/>
      <c r="U49" s="14"/>
      <c r="V49" s="14"/>
      <c r="W49" s="14"/>
    </row>
    <row r="50">
      <c r="P50" s="14"/>
      <c r="Q50" s="14"/>
      <c r="T50" s="14"/>
      <c r="U50" s="14"/>
      <c r="V50" s="14"/>
      <c r="W50" s="14"/>
    </row>
    <row r="51">
      <c r="P51" s="14"/>
      <c r="Q51" s="14"/>
      <c r="T51" s="14"/>
      <c r="U51" s="14"/>
      <c r="V51" s="14"/>
      <c r="W51" s="14"/>
    </row>
    <row r="52">
      <c r="P52" s="14"/>
      <c r="Q52" s="14"/>
      <c r="T52" s="14"/>
      <c r="U52" s="14"/>
      <c r="V52" s="14"/>
      <c r="W52" s="14"/>
    </row>
    <row r="53">
      <c r="P53" s="14"/>
      <c r="Q53" s="14"/>
      <c r="T53" s="14"/>
      <c r="U53" s="14"/>
      <c r="V53" s="14"/>
      <c r="W53" s="14"/>
    </row>
    <row r="54">
      <c r="P54" s="14"/>
      <c r="Q54" s="14"/>
      <c r="T54" s="14"/>
      <c r="U54" s="14"/>
      <c r="V54" s="14"/>
      <c r="W54" s="14"/>
    </row>
    <row r="55">
      <c r="P55" s="14"/>
      <c r="Q55" s="14"/>
      <c r="T55" s="14"/>
      <c r="U55" s="14"/>
      <c r="V55" s="14"/>
      <c r="W55" s="14"/>
    </row>
    <row r="56">
      <c r="P56" s="14"/>
      <c r="Q56" s="14"/>
      <c r="T56" s="14"/>
      <c r="U56" s="14"/>
      <c r="V56" s="14"/>
      <c r="W56" s="14"/>
    </row>
    <row r="57">
      <c r="P57" s="14"/>
      <c r="Q57" s="14"/>
      <c r="T57" s="14"/>
      <c r="U57" s="14"/>
      <c r="V57" s="14"/>
      <c r="W57" s="14"/>
    </row>
    <row r="58">
      <c r="P58" s="14"/>
      <c r="Q58" s="14"/>
      <c r="T58" s="14"/>
      <c r="U58" s="14"/>
      <c r="V58" s="14"/>
      <c r="W58" s="14"/>
    </row>
    <row r="59">
      <c r="P59" s="14"/>
      <c r="Q59" s="14"/>
      <c r="T59" s="14"/>
      <c r="U59" s="14"/>
      <c r="V59" s="14"/>
      <c r="W59" s="14"/>
    </row>
    <row r="60">
      <c r="P60" s="14"/>
      <c r="Q60" s="14"/>
      <c r="T60" s="14"/>
      <c r="U60" s="14"/>
      <c r="V60" s="14"/>
      <c r="W60" s="14"/>
    </row>
    <row r="61">
      <c r="P61" s="14"/>
      <c r="Q61" s="14"/>
      <c r="T61" s="14"/>
      <c r="U61" s="14"/>
      <c r="V61" s="14"/>
      <c r="W61" s="14"/>
    </row>
    <row r="62">
      <c r="P62" s="14"/>
      <c r="Q62" s="14"/>
      <c r="T62" s="14"/>
      <c r="U62" s="14"/>
      <c r="V62" s="14"/>
      <c r="W62" s="14"/>
    </row>
    <row r="63">
      <c r="P63" s="14"/>
      <c r="Q63" s="14"/>
      <c r="T63" s="14"/>
      <c r="U63" s="14"/>
      <c r="V63" s="14"/>
      <c r="W63" s="14"/>
    </row>
    <row r="64">
      <c r="P64" s="14"/>
      <c r="Q64" s="14"/>
      <c r="T64" s="14"/>
      <c r="U64" s="14"/>
      <c r="V64" s="14"/>
      <c r="W64" s="14"/>
    </row>
    <row r="65">
      <c r="P65" s="14"/>
      <c r="Q65" s="14"/>
      <c r="T65" s="14"/>
      <c r="U65" s="14"/>
      <c r="V65" s="14"/>
      <c r="W65" s="14"/>
    </row>
    <row r="66">
      <c r="P66" s="14"/>
      <c r="Q66" s="14"/>
      <c r="T66" s="14"/>
      <c r="U66" s="14"/>
      <c r="V66" s="14"/>
      <c r="W66" s="14"/>
    </row>
    <row r="67">
      <c r="P67" s="14"/>
      <c r="Q67" s="14"/>
      <c r="T67" s="14"/>
      <c r="U67" s="14"/>
      <c r="V67" s="14"/>
      <c r="W67" s="14"/>
    </row>
    <row r="68">
      <c r="P68" s="14"/>
      <c r="Q68" s="14"/>
      <c r="T68" s="14"/>
      <c r="U68" s="14"/>
      <c r="V68" s="14"/>
      <c r="W68" s="14"/>
    </row>
    <row r="69">
      <c r="P69" s="14"/>
      <c r="Q69" s="14"/>
      <c r="T69" s="14"/>
      <c r="U69" s="14"/>
      <c r="V69" s="14"/>
      <c r="W69" s="14"/>
    </row>
    <row r="70">
      <c r="P70" s="14"/>
      <c r="Q70" s="14"/>
      <c r="T70" s="14"/>
      <c r="U70" s="14"/>
      <c r="V70" s="14"/>
      <c r="W70" s="14"/>
    </row>
    <row r="71">
      <c r="P71" s="14"/>
      <c r="Q71" s="14"/>
      <c r="T71" s="14"/>
      <c r="U71" s="14"/>
      <c r="V71" s="14"/>
      <c r="W71" s="14"/>
    </row>
    <row r="72">
      <c r="P72" s="14"/>
      <c r="Q72" s="14"/>
      <c r="T72" s="14"/>
      <c r="U72" s="14"/>
      <c r="V72" s="14"/>
      <c r="W72" s="14"/>
    </row>
    <row r="73">
      <c r="P73" s="14"/>
      <c r="Q73" s="14"/>
      <c r="T73" s="14"/>
      <c r="U73" s="14"/>
      <c r="V73" s="14"/>
      <c r="W73" s="14"/>
    </row>
    <row r="74">
      <c r="P74" s="14"/>
      <c r="Q74" s="14"/>
      <c r="T74" s="14"/>
      <c r="U74" s="14"/>
      <c r="V74" s="14"/>
      <c r="W74" s="14"/>
    </row>
    <row r="75">
      <c r="P75" s="14"/>
      <c r="Q75" s="14"/>
      <c r="T75" s="14"/>
      <c r="U75" s="14"/>
      <c r="V75" s="14"/>
      <c r="W75" s="14"/>
    </row>
    <row r="76">
      <c r="P76" s="14"/>
      <c r="Q76" s="14"/>
      <c r="T76" s="14"/>
      <c r="U76" s="14"/>
      <c r="V76" s="14"/>
      <c r="W76" s="14"/>
    </row>
    <row r="77">
      <c r="P77" s="14"/>
      <c r="Q77" s="14"/>
      <c r="T77" s="14"/>
      <c r="U77" s="14"/>
      <c r="V77" s="14"/>
      <c r="W77" s="14"/>
    </row>
    <row r="78">
      <c r="P78" s="14"/>
      <c r="Q78" s="14"/>
      <c r="T78" s="14"/>
      <c r="U78" s="14"/>
      <c r="V78" s="14"/>
      <c r="W78" s="14"/>
    </row>
    <row r="79">
      <c r="P79" s="14"/>
      <c r="Q79" s="14"/>
      <c r="T79" s="14"/>
      <c r="U79" s="14"/>
      <c r="V79" s="14"/>
      <c r="W79" s="14"/>
    </row>
    <row r="80">
      <c r="P80" s="14"/>
      <c r="Q80" s="14"/>
      <c r="T80" s="14"/>
      <c r="U80" s="14"/>
      <c r="V80" s="14"/>
      <c r="W80" s="14"/>
    </row>
    <row r="81">
      <c r="P81" s="14"/>
      <c r="Q81" s="14"/>
      <c r="T81" s="14"/>
      <c r="U81" s="14"/>
      <c r="V81" s="14"/>
      <c r="W81" s="14"/>
    </row>
    <row r="82">
      <c r="P82" s="14"/>
      <c r="Q82" s="14"/>
      <c r="T82" s="14"/>
      <c r="U82" s="14"/>
      <c r="V82" s="14"/>
      <c r="W82" s="14"/>
    </row>
    <row r="83">
      <c r="P83" s="14"/>
      <c r="Q83" s="14"/>
      <c r="T83" s="14"/>
      <c r="U83" s="14"/>
      <c r="V83" s="14"/>
      <c r="W83" s="14"/>
    </row>
    <row r="84">
      <c r="P84" s="14"/>
      <c r="Q84" s="14"/>
      <c r="T84" s="14"/>
      <c r="U84" s="14"/>
      <c r="V84" s="14"/>
      <c r="W84" s="14"/>
    </row>
    <row r="85">
      <c r="P85" s="14"/>
      <c r="Q85" s="14"/>
      <c r="T85" s="14"/>
      <c r="U85" s="14"/>
      <c r="V85" s="14"/>
      <c r="W85" s="14"/>
    </row>
    <row r="86">
      <c r="P86" s="14"/>
      <c r="Q86" s="14"/>
      <c r="T86" s="14"/>
      <c r="U86" s="14"/>
      <c r="V86" s="14"/>
      <c r="W86" s="14"/>
    </row>
    <row r="87">
      <c r="P87" s="14"/>
      <c r="Q87" s="14"/>
      <c r="T87" s="14"/>
      <c r="U87" s="14"/>
      <c r="V87" s="14"/>
      <c r="W87" s="14"/>
    </row>
    <row r="88">
      <c r="P88" s="14"/>
      <c r="Q88" s="14"/>
      <c r="T88" s="14"/>
      <c r="U88" s="14"/>
      <c r="V88" s="14"/>
      <c r="W88" s="14"/>
    </row>
    <row r="89">
      <c r="P89" s="14"/>
      <c r="Q89" s="14"/>
      <c r="T89" s="14"/>
      <c r="U89" s="14"/>
      <c r="V89" s="14"/>
      <c r="W89" s="14"/>
    </row>
    <row r="90">
      <c r="P90" s="14"/>
      <c r="Q90" s="14"/>
      <c r="T90" s="14"/>
      <c r="U90" s="14"/>
      <c r="V90" s="14"/>
      <c r="W90" s="14"/>
    </row>
    <row r="91">
      <c r="P91" s="14"/>
      <c r="Q91" s="14"/>
      <c r="T91" s="14"/>
      <c r="U91" s="14"/>
      <c r="V91" s="14"/>
      <c r="W91" s="14"/>
    </row>
    <row r="92">
      <c r="P92" s="14"/>
      <c r="Q92" s="14"/>
      <c r="T92" s="14"/>
      <c r="U92" s="14"/>
      <c r="V92" s="14"/>
      <c r="W92" s="14"/>
    </row>
    <row r="93">
      <c r="P93" s="14"/>
      <c r="Q93" s="14"/>
      <c r="T93" s="14"/>
      <c r="U93" s="14"/>
      <c r="V93" s="14"/>
      <c r="W93" s="14"/>
    </row>
    <row r="94">
      <c r="P94" s="14"/>
      <c r="Q94" s="14"/>
      <c r="T94" s="14"/>
      <c r="U94" s="14"/>
      <c r="V94" s="14"/>
      <c r="W94" s="14"/>
    </row>
    <row r="95">
      <c r="P95" s="14"/>
      <c r="Q95" s="14"/>
      <c r="T95" s="14"/>
      <c r="U95" s="14"/>
      <c r="V95" s="14"/>
      <c r="W95" s="14"/>
    </row>
    <row r="96">
      <c r="P96" s="14"/>
      <c r="Q96" s="14"/>
      <c r="T96" s="14"/>
      <c r="U96" s="14"/>
      <c r="V96" s="14"/>
      <c r="W96" s="14"/>
    </row>
    <row r="97">
      <c r="P97" s="14"/>
      <c r="Q97" s="14"/>
      <c r="T97" s="14"/>
      <c r="U97" s="14"/>
      <c r="V97" s="14"/>
      <c r="W97" s="14"/>
    </row>
    <row r="98">
      <c r="P98" s="14"/>
      <c r="Q98" s="14"/>
      <c r="T98" s="14"/>
      <c r="U98" s="14"/>
      <c r="V98" s="14"/>
      <c r="W98" s="14"/>
    </row>
    <row r="99">
      <c r="P99" s="14"/>
      <c r="Q99" s="14"/>
      <c r="T99" s="14"/>
      <c r="U99" s="14"/>
      <c r="V99" s="14"/>
      <c r="W99" s="14"/>
    </row>
    <row r="100">
      <c r="P100" s="14"/>
      <c r="Q100" s="14"/>
      <c r="T100" s="14"/>
      <c r="U100" s="14"/>
      <c r="V100" s="14"/>
      <c r="W100" s="14"/>
    </row>
    <row r="101">
      <c r="P101" s="14"/>
      <c r="Q101" s="14"/>
      <c r="T101" s="14"/>
      <c r="U101" s="14"/>
      <c r="V101" s="14"/>
      <c r="W101" s="14"/>
    </row>
    <row r="102">
      <c r="P102" s="14"/>
      <c r="Q102" s="14"/>
      <c r="T102" s="14"/>
      <c r="U102" s="14"/>
      <c r="V102" s="14"/>
      <c r="W102" s="14"/>
    </row>
    <row r="103">
      <c r="P103" s="14"/>
      <c r="Q103" s="14"/>
      <c r="T103" s="14"/>
      <c r="U103" s="14"/>
      <c r="V103" s="14"/>
      <c r="W103" s="14"/>
    </row>
    <row r="104">
      <c r="P104" s="14"/>
      <c r="Q104" s="14"/>
      <c r="T104" s="14"/>
      <c r="U104" s="14"/>
      <c r="V104" s="14"/>
      <c r="W104" s="14"/>
    </row>
    <row r="105">
      <c r="P105" s="14"/>
      <c r="Q105" s="14"/>
      <c r="T105" s="14"/>
      <c r="U105" s="14"/>
      <c r="V105" s="14"/>
      <c r="W105" s="14"/>
    </row>
    <row r="106">
      <c r="P106" s="14"/>
      <c r="Q106" s="14"/>
      <c r="T106" s="14"/>
      <c r="U106" s="14"/>
      <c r="V106" s="14"/>
      <c r="W106" s="14"/>
    </row>
    <row r="107">
      <c r="P107" s="14"/>
      <c r="Q107" s="14"/>
      <c r="T107" s="14"/>
      <c r="U107" s="14"/>
      <c r="V107" s="14"/>
      <c r="W107" s="14"/>
    </row>
    <row r="108">
      <c r="P108" s="14"/>
      <c r="Q108" s="14"/>
      <c r="T108" s="14"/>
      <c r="U108" s="14"/>
      <c r="V108" s="14"/>
      <c r="W108" s="14"/>
    </row>
    <row r="109">
      <c r="P109" s="14"/>
      <c r="Q109" s="14"/>
      <c r="T109" s="14"/>
      <c r="U109" s="14"/>
      <c r="V109" s="14"/>
      <c r="W109" s="14"/>
    </row>
    <row r="110">
      <c r="P110" s="14"/>
      <c r="Q110" s="14"/>
      <c r="T110" s="14"/>
      <c r="U110" s="14"/>
      <c r="V110" s="14"/>
      <c r="W110" s="14"/>
    </row>
    <row r="111">
      <c r="P111" s="14"/>
      <c r="Q111" s="14"/>
      <c r="T111" s="14"/>
      <c r="U111" s="14"/>
      <c r="V111" s="14"/>
      <c r="W111" s="14"/>
    </row>
    <row r="112">
      <c r="P112" s="14"/>
      <c r="Q112" s="14"/>
      <c r="T112" s="14"/>
      <c r="U112" s="14"/>
      <c r="V112" s="14"/>
      <c r="W112" s="14"/>
    </row>
    <row r="113">
      <c r="P113" s="14"/>
      <c r="Q113" s="14"/>
      <c r="T113" s="14"/>
      <c r="U113" s="14"/>
      <c r="V113" s="14"/>
      <c r="W113" s="14"/>
    </row>
    <row r="114">
      <c r="P114" s="14"/>
      <c r="Q114" s="14"/>
      <c r="T114" s="14"/>
      <c r="U114" s="14"/>
      <c r="V114" s="14"/>
      <c r="W114" s="14"/>
    </row>
    <row r="115">
      <c r="P115" s="14"/>
      <c r="Q115" s="14"/>
      <c r="T115" s="14"/>
      <c r="U115" s="14"/>
      <c r="V115" s="14"/>
      <c r="W115" s="14"/>
    </row>
    <row r="116">
      <c r="P116" s="14"/>
      <c r="Q116" s="14"/>
      <c r="T116" s="14"/>
      <c r="U116" s="14"/>
      <c r="V116" s="14"/>
      <c r="W116" s="14"/>
    </row>
    <row r="117">
      <c r="P117" s="14"/>
      <c r="Q117" s="14"/>
      <c r="T117" s="14"/>
      <c r="U117" s="14"/>
      <c r="V117" s="14"/>
      <c r="W117" s="14"/>
    </row>
    <row r="118">
      <c r="P118" s="14"/>
      <c r="Q118" s="14"/>
      <c r="T118" s="14"/>
      <c r="U118" s="14"/>
      <c r="V118" s="14"/>
      <c r="W118" s="14"/>
    </row>
    <row r="119">
      <c r="P119" s="14"/>
      <c r="Q119" s="14"/>
      <c r="T119" s="14"/>
      <c r="U119" s="14"/>
      <c r="V119" s="14"/>
      <c r="W119" s="14"/>
    </row>
    <row r="120">
      <c r="P120" s="14"/>
      <c r="Q120" s="14"/>
      <c r="T120" s="14"/>
      <c r="U120" s="14"/>
      <c r="V120" s="14"/>
      <c r="W120" s="14"/>
    </row>
    <row r="121">
      <c r="P121" s="14"/>
      <c r="Q121" s="14"/>
      <c r="T121" s="14"/>
      <c r="U121" s="14"/>
      <c r="V121" s="14"/>
      <c r="W121" s="14"/>
    </row>
    <row r="122">
      <c r="P122" s="14"/>
      <c r="Q122" s="14"/>
      <c r="T122" s="14"/>
      <c r="U122" s="14"/>
      <c r="V122" s="14"/>
      <c r="W122" s="14"/>
    </row>
    <row r="123">
      <c r="P123" s="14"/>
      <c r="Q123" s="14"/>
      <c r="T123" s="14"/>
      <c r="U123" s="14"/>
      <c r="V123" s="14"/>
      <c r="W123" s="14"/>
    </row>
    <row r="124">
      <c r="P124" s="14"/>
      <c r="Q124" s="14"/>
      <c r="T124" s="14"/>
      <c r="U124" s="14"/>
      <c r="V124" s="14"/>
      <c r="W124" s="14"/>
    </row>
    <row r="125">
      <c r="P125" s="14"/>
      <c r="Q125" s="14"/>
      <c r="T125" s="14"/>
      <c r="U125" s="14"/>
      <c r="V125" s="14"/>
      <c r="W125" s="14"/>
    </row>
    <row r="126">
      <c r="P126" s="14"/>
      <c r="Q126" s="14"/>
      <c r="T126" s="14"/>
      <c r="U126" s="14"/>
      <c r="V126" s="14"/>
      <c r="W126" s="14"/>
    </row>
    <row r="127">
      <c r="P127" s="14"/>
      <c r="Q127" s="14"/>
      <c r="T127" s="14"/>
      <c r="U127" s="14"/>
      <c r="V127" s="14"/>
      <c r="W127" s="14"/>
    </row>
    <row r="128">
      <c r="P128" s="14"/>
      <c r="Q128" s="14"/>
      <c r="T128" s="14"/>
      <c r="U128" s="14"/>
      <c r="V128" s="14"/>
      <c r="W128" s="14"/>
    </row>
    <row r="129">
      <c r="P129" s="14"/>
      <c r="Q129" s="14"/>
      <c r="T129" s="14"/>
      <c r="U129" s="14"/>
      <c r="V129" s="14"/>
      <c r="W129" s="14"/>
    </row>
    <row r="130">
      <c r="P130" s="14"/>
      <c r="Q130" s="14"/>
      <c r="T130" s="14"/>
      <c r="U130" s="14"/>
      <c r="V130" s="14"/>
      <c r="W130" s="14"/>
    </row>
    <row r="131">
      <c r="P131" s="14"/>
      <c r="Q131" s="14"/>
      <c r="T131" s="14"/>
      <c r="U131" s="14"/>
      <c r="V131" s="14"/>
      <c r="W131" s="14"/>
    </row>
    <row r="132">
      <c r="P132" s="14"/>
      <c r="Q132" s="14"/>
      <c r="T132" s="14"/>
      <c r="U132" s="14"/>
      <c r="V132" s="14"/>
      <c r="W132" s="14"/>
    </row>
    <row r="133">
      <c r="P133" s="14"/>
      <c r="Q133" s="14"/>
      <c r="T133" s="14"/>
      <c r="U133" s="14"/>
      <c r="V133" s="14"/>
      <c r="W133" s="14"/>
    </row>
    <row r="134">
      <c r="P134" s="14"/>
      <c r="Q134" s="14"/>
      <c r="T134" s="14"/>
      <c r="U134" s="14"/>
      <c r="V134" s="14"/>
      <c r="W134" s="14"/>
    </row>
    <row r="135">
      <c r="P135" s="14"/>
      <c r="Q135" s="14"/>
      <c r="T135" s="14"/>
      <c r="U135" s="14"/>
      <c r="V135" s="14"/>
      <c r="W135" s="14"/>
    </row>
    <row r="136">
      <c r="P136" s="14"/>
      <c r="Q136" s="14"/>
      <c r="T136" s="14"/>
      <c r="U136" s="14"/>
      <c r="V136" s="14"/>
      <c r="W136" s="14"/>
    </row>
    <row r="137">
      <c r="P137" s="14"/>
      <c r="Q137" s="14"/>
      <c r="T137" s="14"/>
      <c r="U137" s="14"/>
      <c r="V137" s="14"/>
      <c r="W137" s="14"/>
    </row>
    <row r="138">
      <c r="P138" s="14"/>
      <c r="Q138" s="14"/>
      <c r="T138" s="14"/>
      <c r="U138" s="14"/>
      <c r="V138" s="14"/>
      <c r="W138" s="14"/>
    </row>
    <row r="139">
      <c r="P139" s="14"/>
      <c r="Q139" s="14"/>
      <c r="T139" s="14"/>
      <c r="U139" s="14"/>
      <c r="V139" s="14"/>
      <c r="W139" s="14"/>
    </row>
    <row r="140">
      <c r="P140" s="14"/>
      <c r="Q140" s="14"/>
      <c r="T140" s="14"/>
      <c r="U140" s="14"/>
      <c r="V140" s="14"/>
      <c r="W140" s="14"/>
    </row>
    <row r="141">
      <c r="P141" s="14"/>
      <c r="Q141" s="14"/>
      <c r="T141" s="14"/>
      <c r="U141" s="14"/>
      <c r="V141" s="14"/>
      <c r="W141" s="14"/>
    </row>
    <row r="142">
      <c r="P142" s="14"/>
      <c r="Q142" s="14"/>
      <c r="T142" s="14"/>
      <c r="U142" s="14"/>
      <c r="V142" s="14"/>
      <c r="W142" s="14"/>
    </row>
    <row r="143">
      <c r="P143" s="14"/>
      <c r="Q143" s="14"/>
      <c r="T143" s="14"/>
      <c r="U143" s="14"/>
      <c r="V143" s="14"/>
      <c r="W143" s="14"/>
    </row>
    <row r="144">
      <c r="P144" s="14"/>
      <c r="Q144" s="14"/>
      <c r="T144" s="14"/>
      <c r="U144" s="14"/>
      <c r="V144" s="14"/>
      <c r="W144" s="14"/>
    </row>
    <row r="145">
      <c r="P145" s="14"/>
      <c r="Q145" s="14"/>
      <c r="T145" s="14"/>
      <c r="U145" s="14"/>
      <c r="V145" s="14"/>
      <c r="W145" s="14"/>
    </row>
    <row r="146">
      <c r="P146" s="14"/>
      <c r="Q146" s="14"/>
      <c r="T146" s="14"/>
      <c r="U146" s="14"/>
      <c r="V146" s="14"/>
      <c r="W146" s="14"/>
    </row>
    <row r="147">
      <c r="P147" s="14"/>
      <c r="Q147" s="14"/>
      <c r="T147" s="14"/>
      <c r="U147" s="14"/>
      <c r="V147" s="14"/>
      <c r="W147" s="14"/>
    </row>
    <row r="148">
      <c r="P148" s="14"/>
      <c r="Q148" s="14"/>
      <c r="T148" s="14"/>
      <c r="U148" s="14"/>
      <c r="V148" s="14"/>
      <c r="W148" s="14"/>
    </row>
    <row r="149">
      <c r="P149" s="14"/>
      <c r="Q149" s="14"/>
      <c r="T149" s="14"/>
      <c r="U149" s="14"/>
      <c r="V149" s="14"/>
      <c r="W149" s="14"/>
    </row>
    <row r="150">
      <c r="P150" s="14"/>
      <c r="Q150" s="14"/>
      <c r="T150" s="14"/>
      <c r="U150" s="14"/>
      <c r="V150" s="14"/>
      <c r="W150" s="14"/>
    </row>
    <row r="151">
      <c r="P151" s="14"/>
      <c r="Q151" s="14"/>
      <c r="T151" s="14"/>
      <c r="U151" s="14"/>
      <c r="V151" s="14"/>
      <c r="W151" s="14"/>
    </row>
    <row r="152">
      <c r="P152" s="14"/>
      <c r="Q152" s="14"/>
      <c r="T152" s="14"/>
      <c r="U152" s="14"/>
      <c r="V152" s="14"/>
      <c r="W152" s="14"/>
    </row>
    <row r="153">
      <c r="P153" s="14"/>
      <c r="Q153" s="14"/>
      <c r="T153" s="14"/>
      <c r="U153" s="14"/>
      <c r="V153" s="14"/>
      <c r="W153" s="14"/>
    </row>
    <row r="154">
      <c r="P154" s="14"/>
      <c r="Q154" s="14"/>
      <c r="T154" s="14"/>
      <c r="U154" s="14"/>
      <c r="V154" s="14"/>
      <c r="W154" s="14"/>
    </row>
    <row r="155">
      <c r="P155" s="14"/>
      <c r="Q155" s="14"/>
      <c r="T155" s="14"/>
      <c r="U155" s="14"/>
      <c r="V155" s="14"/>
      <c r="W155" s="14"/>
    </row>
    <row r="156">
      <c r="P156" s="14"/>
      <c r="Q156" s="14"/>
      <c r="T156" s="14"/>
      <c r="U156" s="14"/>
      <c r="V156" s="14"/>
      <c r="W156" s="14"/>
    </row>
    <row r="157">
      <c r="P157" s="14"/>
      <c r="Q157" s="14"/>
      <c r="T157" s="14"/>
      <c r="U157" s="14"/>
      <c r="V157" s="14"/>
      <c r="W157" s="14"/>
    </row>
    <row r="158">
      <c r="P158" s="14"/>
      <c r="Q158" s="14"/>
      <c r="T158" s="14"/>
      <c r="U158" s="14"/>
      <c r="V158" s="14"/>
      <c r="W158" s="14"/>
    </row>
    <row r="159">
      <c r="P159" s="14"/>
      <c r="Q159" s="14"/>
      <c r="T159" s="14"/>
      <c r="U159" s="14"/>
      <c r="V159" s="14"/>
      <c r="W159" s="14"/>
    </row>
    <row r="160">
      <c r="P160" s="14"/>
      <c r="Q160" s="14"/>
      <c r="T160" s="14"/>
      <c r="U160" s="14"/>
      <c r="V160" s="14"/>
      <c r="W160" s="14"/>
    </row>
    <row r="161">
      <c r="P161" s="14"/>
      <c r="Q161" s="14"/>
      <c r="T161" s="14"/>
      <c r="U161" s="14"/>
      <c r="V161" s="14"/>
      <c r="W161" s="14"/>
    </row>
    <row r="162">
      <c r="P162" s="14"/>
      <c r="Q162" s="14"/>
      <c r="T162" s="14"/>
      <c r="U162" s="14"/>
      <c r="V162" s="14"/>
      <c r="W162" s="14"/>
    </row>
    <row r="163">
      <c r="P163" s="14"/>
      <c r="Q163" s="14"/>
      <c r="T163" s="14"/>
      <c r="U163" s="14"/>
      <c r="V163" s="14"/>
      <c r="W163" s="14"/>
    </row>
    <row r="164">
      <c r="P164" s="14"/>
      <c r="Q164" s="14"/>
      <c r="T164" s="14"/>
      <c r="U164" s="14"/>
      <c r="V164" s="14"/>
      <c r="W164" s="14"/>
    </row>
    <row r="165">
      <c r="P165" s="14"/>
      <c r="Q165" s="14"/>
      <c r="T165" s="14"/>
      <c r="U165" s="14"/>
      <c r="V165" s="14"/>
      <c r="W165" s="14"/>
    </row>
    <row r="166">
      <c r="P166" s="14"/>
      <c r="Q166" s="14"/>
      <c r="T166" s="14"/>
      <c r="U166" s="14"/>
      <c r="V166" s="14"/>
      <c r="W166" s="14"/>
    </row>
    <row r="167">
      <c r="P167" s="14"/>
      <c r="Q167" s="14"/>
      <c r="T167" s="14"/>
      <c r="U167" s="14"/>
      <c r="V167" s="14"/>
      <c r="W167" s="14"/>
    </row>
    <row r="168">
      <c r="P168" s="14"/>
      <c r="Q168" s="14"/>
      <c r="T168" s="14"/>
      <c r="U168" s="14"/>
      <c r="V168" s="14"/>
      <c r="W168" s="14"/>
    </row>
    <row r="169">
      <c r="P169" s="14"/>
      <c r="Q169" s="14"/>
      <c r="T169" s="14"/>
      <c r="U169" s="14"/>
      <c r="V169" s="14"/>
      <c r="W169" s="14"/>
    </row>
    <row r="170">
      <c r="P170" s="14"/>
      <c r="Q170" s="14"/>
      <c r="T170" s="14"/>
      <c r="U170" s="14"/>
      <c r="V170" s="14"/>
      <c r="W170" s="14"/>
    </row>
    <row r="171">
      <c r="P171" s="14"/>
      <c r="Q171" s="14"/>
      <c r="T171" s="14"/>
      <c r="U171" s="14"/>
      <c r="V171" s="14"/>
      <c r="W171" s="14"/>
    </row>
    <row r="172">
      <c r="P172" s="14"/>
      <c r="Q172" s="14"/>
      <c r="T172" s="14"/>
      <c r="U172" s="14"/>
      <c r="V172" s="14"/>
      <c r="W172" s="14"/>
    </row>
    <row r="173">
      <c r="P173" s="14"/>
      <c r="Q173" s="14"/>
      <c r="T173" s="14"/>
      <c r="U173" s="14"/>
      <c r="V173" s="14"/>
      <c r="W173" s="14"/>
    </row>
    <row r="174">
      <c r="P174" s="14"/>
      <c r="Q174" s="14"/>
      <c r="T174" s="14"/>
      <c r="U174" s="14"/>
      <c r="V174" s="14"/>
      <c r="W174" s="14"/>
    </row>
    <row r="175">
      <c r="P175" s="14"/>
      <c r="Q175" s="14"/>
      <c r="T175" s="14"/>
      <c r="U175" s="14"/>
      <c r="V175" s="14"/>
      <c r="W175" s="14"/>
    </row>
    <row r="176">
      <c r="P176" s="14"/>
      <c r="Q176" s="14"/>
      <c r="T176" s="14"/>
      <c r="U176" s="14"/>
      <c r="V176" s="14"/>
      <c r="W176" s="14"/>
    </row>
    <row r="177">
      <c r="P177" s="14"/>
      <c r="Q177" s="14"/>
      <c r="T177" s="14"/>
      <c r="U177" s="14"/>
      <c r="V177" s="14"/>
      <c r="W177" s="14"/>
    </row>
    <row r="178">
      <c r="P178" s="14"/>
      <c r="Q178" s="14"/>
      <c r="T178" s="14"/>
      <c r="U178" s="14"/>
      <c r="V178" s="14"/>
      <c r="W178" s="14"/>
    </row>
    <row r="179">
      <c r="P179" s="14"/>
      <c r="Q179" s="14"/>
      <c r="T179" s="14"/>
      <c r="U179" s="14"/>
      <c r="V179" s="14"/>
      <c r="W179" s="14"/>
    </row>
    <row r="180">
      <c r="P180" s="14"/>
      <c r="Q180" s="14"/>
      <c r="T180" s="14"/>
      <c r="U180" s="14"/>
      <c r="V180" s="14"/>
      <c r="W180" s="14"/>
    </row>
    <row r="181">
      <c r="P181" s="14"/>
      <c r="Q181" s="14"/>
      <c r="T181" s="14"/>
      <c r="U181" s="14"/>
      <c r="V181" s="14"/>
      <c r="W181" s="14"/>
    </row>
    <row r="182">
      <c r="P182" s="14"/>
      <c r="Q182" s="14"/>
      <c r="T182" s="14"/>
      <c r="U182" s="14"/>
      <c r="V182" s="14"/>
      <c r="W182" s="14"/>
    </row>
    <row r="183">
      <c r="P183" s="14"/>
      <c r="Q183" s="14"/>
      <c r="T183" s="14"/>
      <c r="U183" s="14"/>
      <c r="V183" s="14"/>
      <c r="W183" s="14"/>
    </row>
    <row r="184">
      <c r="P184" s="14"/>
      <c r="Q184" s="14"/>
      <c r="T184" s="14"/>
      <c r="U184" s="14"/>
      <c r="V184" s="14"/>
      <c r="W184" s="14"/>
    </row>
    <row r="185">
      <c r="P185" s="14"/>
      <c r="Q185" s="14"/>
      <c r="T185" s="14"/>
      <c r="U185" s="14"/>
      <c r="V185" s="14"/>
      <c r="W185" s="14"/>
    </row>
    <row r="186">
      <c r="P186" s="14"/>
      <c r="Q186" s="14"/>
      <c r="T186" s="14"/>
      <c r="U186" s="14"/>
      <c r="V186" s="14"/>
      <c r="W186" s="14"/>
    </row>
    <row r="187">
      <c r="P187" s="14"/>
      <c r="Q187" s="14"/>
      <c r="T187" s="14"/>
      <c r="U187" s="14"/>
      <c r="V187" s="14"/>
      <c r="W187" s="14"/>
    </row>
    <row r="188">
      <c r="P188" s="14"/>
      <c r="Q188" s="14"/>
      <c r="T188" s="14"/>
      <c r="U188" s="14"/>
      <c r="V188" s="14"/>
      <c r="W188" s="14"/>
    </row>
    <row r="189">
      <c r="P189" s="14"/>
      <c r="Q189" s="14"/>
      <c r="T189" s="14"/>
      <c r="U189" s="14"/>
      <c r="V189" s="14"/>
      <c r="W189" s="14"/>
    </row>
    <row r="190">
      <c r="P190" s="14"/>
      <c r="Q190" s="14"/>
      <c r="T190" s="14"/>
      <c r="U190" s="14"/>
      <c r="V190" s="14"/>
      <c r="W190" s="14"/>
    </row>
    <row r="191">
      <c r="P191" s="14"/>
      <c r="Q191" s="14"/>
      <c r="T191" s="14"/>
      <c r="U191" s="14"/>
      <c r="V191" s="14"/>
      <c r="W191" s="14"/>
    </row>
    <row r="192">
      <c r="P192" s="14"/>
      <c r="Q192" s="14"/>
      <c r="T192" s="14"/>
      <c r="U192" s="14"/>
      <c r="V192" s="14"/>
      <c r="W192" s="14"/>
    </row>
    <row r="193">
      <c r="P193" s="14"/>
      <c r="Q193" s="14"/>
      <c r="T193" s="14"/>
      <c r="U193" s="14"/>
      <c r="V193" s="14"/>
      <c r="W193" s="14"/>
    </row>
    <row r="194">
      <c r="P194" s="14"/>
      <c r="Q194" s="14"/>
      <c r="T194" s="14"/>
      <c r="U194" s="14"/>
      <c r="V194" s="14"/>
      <c r="W194" s="14"/>
    </row>
    <row r="195">
      <c r="P195" s="14"/>
      <c r="Q195" s="14"/>
      <c r="T195" s="14"/>
      <c r="U195" s="14"/>
      <c r="V195" s="14"/>
      <c r="W195" s="14"/>
    </row>
    <row r="196">
      <c r="P196" s="14"/>
      <c r="Q196" s="14"/>
      <c r="T196" s="14"/>
      <c r="U196" s="14"/>
      <c r="V196" s="14"/>
      <c r="W196" s="14"/>
    </row>
    <row r="197">
      <c r="P197" s="14"/>
      <c r="Q197" s="14"/>
      <c r="T197" s="14"/>
      <c r="U197" s="14"/>
      <c r="V197" s="14"/>
      <c r="W197" s="14"/>
    </row>
    <row r="198">
      <c r="P198" s="14"/>
      <c r="Q198" s="14"/>
      <c r="T198" s="14"/>
      <c r="U198" s="14"/>
      <c r="V198" s="14"/>
      <c r="W198" s="14"/>
    </row>
    <row r="199">
      <c r="P199" s="14"/>
      <c r="Q199" s="14"/>
      <c r="T199" s="14"/>
      <c r="U199" s="14"/>
      <c r="V199" s="14"/>
      <c r="W199" s="14"/>
    </row>
    <row r="200">
      <c r="P200" s="14"/>
      <c r="Q200" s="14"/>
      <c r="T200" s="14"/>
      <c r="U200" s="14"/>
      <c r="V200" s="14"/>
      <c r="W200" s="14"/>
    </row>
    <row r="201">
      <c r="P201" s="14"/>
      <c r="Q201" s="14"/>
      <c r="T201" s="14"/>
      <c r="U201" s="14"/>
      <c r="V201" s="14"/>
      <c r="W201" s="14"/>
    </row>
    <row r="202">
      <c r="P202" s="14"/>
      <c r="Q202" s="14"/>
      <c r="T202" s="14"/>
      <c r="U202" s="14"/>
      <c r="V202" s="14"/>
      <c r="W202" s="14"/>
    </row>
    <row r="203">
      <c r="P203" s="14"/>
      <c r="Q203" s="14"/>
      <c r="T203" s="14"/>
      <c r="U203" s="14"/>
      <c r="V203" s="14"/>
      <c r="W203" s="14"/>
    </row>
    <row r="204">
      <c r="P204" s="14"/>
      <c r="Q204" s="14"/>
      <c r="T204" s="14"/>
      <c r="U204" s="14"/>
      <c r="V204" s="14"/>
      <c r="W204" s="14"/>
    </row>
    <row r="205">
      <c r="P205" s="14"/>
      <c r="Q205" s="14"/>
      <c r="T205" s="14"/>
      <c r="U205" s="14"/>
      <c r="V205" s="14"/>
      <c r="W205" s="14"/>
    </row>
    <row r="206">
      <c r="P206" s="14"/>
      <c r="Q206" s="14"/>
      <c r="T206" s="14"/>
      <c r="U206" s="14"/>
      <c r="V206" s="14"/>
      <c r="W206" s="14"/>
    </row>
    <row r="207">
      <c r="P207" s="14"/>
      <c r="Q207" s="14"/>
      <c r="T207" s="14"/>
      <c r="U207" s="14"/>
      <c r="V207" s="14"/>
      <c r="W207" s="14"/>
    </row>
    <row r="208">
      <c r="P208" s="14"/>
      <c r="Q208" s="14"/>
      <c r="T208" s="14"/>
      <c r="U208" s="14"/>
      <c r="V208" s="14"/>
      <c r="W208" s="14"/>
    </row>
    <row r="209">
      <c r="P209" s="14"/>
      <c r="Q209" s="14"/>
      <c r="T209" s="14"/>
      <c r="U209" s="14"/>
      <c r="V209" s="14"/>
      <c r="W209" s="14"/>
    </row>
    <row r="210">
      <c r="P210" s="14"/>
      <c r="Q210" s="14"/>
      <c r="T210" s="14"/>
      <c r="U210" s="14"/>
      <c r="V210" s="14"/>
      <c r="W210" s="14"/>
    </row>
    <row r="211">
      <c r="P211" s="14"/>
      <c r="Q211" s="14"/>
      <c r="T211" s="14"/>
      <c r="U211" s="14"/>
      <c r="V211" s="14"/>
      <c r="W211" s="14"/>
    </row>
    <row r="212">
      <c r="P212" s="14"/>
      <c r="Q212" s="14"/>
      <c r="T212" s="14"/>
      <c r="U212" s="14"/>
      <c r="V212" s="14"/>
      <c r="W212" s="14"/>
    </row>
    <row r="213">
      <c r="P213" s="14"/>
      <c r="Q213" s="14"/>
      <c r="T213" s="14"/>
      <c r="U213" s="14"/>
      <c r="V213" s="14"/>
      <c r="W213" s="14"/>
    </row>
    <row r="214">
      <c r="P214" s="14"/>
      <c r="Q214" s="14"/>
      <c r="T214" s="14"/>
      <c r="U214" s="14"/>
      <c r="V214" s="14"/>
      <c r="W214" s="14"/>
    </row>
    <row r="215">
      <c r="P215" s="14"/>
      <c r="Q215" s="14"/>
      <c r="T215" s="14"/>
      <c r="U215" s="14"/>
      <c r="V215" s="14"/>
      <c r="W215" s="14"/>
    </row>
    <row r="216">
      <c r="P216" s="14"/>
      <c r="Q216" s="14"/>
      <c r="T216" s="14"/>
      <c r="U216" s="14"/>
      <c r="V216" s="14"/>
      <c r="W216" s="14"/>
    </row>
    <row r="217">
      <c r="P217" s="14"/>
      <c r="Q217" s="14"/>
      <c r="T217" s="14"/>
      <c r="U217" s="14"/>
      <c r="V217" s="14"/>
      <c r="W217" s="14"/>
    </row>
    <row r="218">
      <c r="P218" s="14"/>
      <c r="Q218" s="14"/>
      <c r="T218" s="14"/>
      <c r="U218" s="14"/>
      <c r="V218" s="14"/>
      <c r="W218" s="14"/>
    </row>
    <row r="219">
      <c r="P219" s="14"/>
      <c r="Q219" s="14"/>
      <c r="T219" s="14"/>
      <c r="U219" s="14"/>
      <c r="V219" s="14"/>
      <c r="W219" s="14"/>
    </row>
    <row r="220">
      <c r="P220" s="14"/>
      <c r="Q220" s="14"/>
      <c r="T220" s="14"/>
      <c r="U220" s="14"/>
      <c r="V220" s="14"/>
      <c r="W220" s="14"/>
    </row>
    <row r="221">
      <c r="P221" s="14"/>
      <c r="Q221" s="14"/>
      <c r="T221" s="14"/>
      <c r="U221" s="14"/>
      <c r="V221" s="14"/>
      <c r="W221" s="14"/>
    </row>
    <row r="222">
      <c r="P222" s="14"/>
      <c r="Q222" s="14"/>
      <c r="T222" s="14"/>
      <c r="U222" s="14"/>
      <c r="V222" s="14"/>
      <c r="W222" s="14"/>
    </row>
    <row r="223">
      <c r="P223" s="14"/>
      <c r="Q223" s="14"/>
      <c r="T223" s="14"/>
      <c r="U223" s="14"/>
      <c r="V223" s="14"/>
      <c r="W223" s="14"/>
    </row>
    <row r="224">
      <c r="P224" s="14"/>
      <c r="Q224" s="14"/>
      <c r="T224" s="14"/>
      <c r="U224" s="14"/>
      <c r="V224" s="14"/>
      <c r="W224" s="14"/>
    </row>
    <row r="225">
      <c r="P225" s="14"/>
      <c r="Q225" s="14"/>
      <c r="T225" s="14"/>
      <c r="U225" s="14"/>
      <c r="V225" s="14"/>
      <c r="W225" s="14"/>
    </row>
    <row r="226">
      <c r="P226" s="14"/>
      <c r="Q226" s="14"/>
      <c r="T226" s="14"/>
      <c r="U226" s="14"/>
      <c r="V226" s="14"/>
      <c r="W226" s="14"/>
    </row>
    <row r="227">
      <c r="P227" s="14"/>
      <c r="Q227" s="14"/>
      <c r="T227" s="14"/>
      <c r="U227" s="14"/>
      <c r="V227" s="14"/>
      <c r="W227" s="14"/>
    </row>
    <row r="228">
      <c r="P228" s="14"/>
      <c r="Q228" s="14"/>
      <c r="T228" s="14"/>
      <c r="U228" s="14"/>
      <c r="V228" s="14"/>
      <c r="W228" s="14"/>
    </row>
    <row r="229">
      <c r="P229" s="14"/>
      <c r="Q229" s="14"/>
      <c r="T229" s="14"/>
      <c r="U229" s="14"/>
      <c r="V229" s="14"/>
      <c r="W229" s="14"/>
    </row>
    <row r="230">
      <c r="P230" s="14"/>
      <c r="Q230" s="14"/>
      <c r="T230" s="14"/>
      <c r="U230" s="14"/>
      <c r="V230" s="14"/>
      <c r="W230" s="14"/>
    </row>
    <row r="231">
      <c r="P231" s="14"/>
      <c r="Q231" s="14"/>
      <c r="T231" s="14"/>
      <c r="U231" s="14"/>
      <c r="V231" s="14"/>
      <c r="W231" s="14"/>
    </row>
    <row r="232">
      <c r="P232" s="14"/>
      <c r="Q232" s="14"/>
      <c r="T232" s="14"/>
      <c r="U232" s="14"/>
      <c r="V232" s="14"/>
      <c r="W232" s="14"/>
    </row>
    <row r="233">
      <c r="P233" s="14"/>
      <c r="Q233" s="14"/>
      <c r="T233" s="14"/>
      <c r="U233" s="14"/>
      <c r="V233" s="14"/>
      <c r="W233" s="14"/>
    </row>
    <row r="234">
      <c r="P234" s="14"/>
      <c r="Q234" s="14"/>
      <c r="T234" s="14"/>
      <c r="U234" s="14"/>
      <c r="V234" s="14"/>
      <c r="W234" s="14"/>
    </row>
    <row r="235">
      <c r="P235" s="14"/>
      <c r="Q235" s="14"/>
      <c r="T235" s="14"/>
      <c r="U235" s="14"/>
      <c r="V235" s="14"/>
      <c r="W235" s="14"/>
    </row>
    <row r="236">
      <c r="P236" s="14"/>
      <c r="Q236" s="14"/>
      <c r="T236" s="14"/>
      <c r="U236" s="14"/>
      <c r="V236" s="14"/>
      <c r="W236" s="14"/>
    </row>
    <row r="237">
      <c r="P237" s="14"/>
      <c r="Q237" s="14"/>
      <c r="T237" s="14"/>
      <c r="U237" s="14"/>
      <c r="V237" s="14"/>
      <c r="W237" s="14"/>
    </row>
    <row r="238">
      <c r="P238" s="14"/>
      <c r="Q238" s="14"/>
      <c r="T238" s="14"/>
      <c r="U238" s="14"/>
      <c r="V238" s="14"/>
      <c r="W238" s="14"/>
    </row>
    <row r="239">
      <c r="P239" s="14"/>
      <c r="Q239" s="14"/>
      <c r="T239" s="14"/>
      <c r="U239" s="14"/>
      <c r="V239" s="14"/>
      <c r="W239" s="14"/>
    </row>
    <row r="240">
      <c r="P240" s="14"/>
      <c r="Q240" s="14"/>
      <c r="T240" s="14"/>
      <c r="U240" s="14"/>
      <c r="V240" s="14"/>
      <c r="W240" s="14"/>
    </row>
    <row r="241">
      <c r="P241" s="14"/>
      <c r="Q241" s="14"/>
      <c r="T241" s="14"/>
      <c r="U241" s="14"/>
      <c r="V241" s="14"/>
      <c r="W241" s="14"/>
    </row>
    <row r="242">
      <c r="P242" s="14"/>
      <c r="Q242" s="14"/>
      <c r="T242" s="14"/>
      <c r="U242" s="14"/>
      <c r="V242" s="14"/>
      <c r="W242" s="14"/>
    </row>
    <row r="243">
      <c r="P243" s="14"/>
      <c r="Q243" s="14"/>
      <c r="T243" s="14"/>
      <c r="U243" s="14"/>
      <c r="V243" s="14"/>
      <c r="W243" s="14"/>
    </row>
    <row r="244">
      <c r="P244" s="14"/>
      <c r="Q244" s="14"/>
      <c r="T244" s="14"/>
      <c r="U244" s="14"/>
      <c r="V244" s="14"/>
      <c r="W244" s="14"/>
    </row>
    <row r="245">
      <c r="P245" s="14"/>
      <c r="Q245" s="14"/>
      <c r="T245" s="14"/>
      <c r="U245" s="14"/>
      <c r="V245" s="14"/>
      <c r="W245" s="14"/>
    </row>
    <row r="246">
      <c r="P246" s="14"/>
      <c r="Q246" s="14"/>
      <c r="T246" s="14"/>
      <c r="U246" s="14"/>
      <c r="V246" s="14"/>
      <c r="W246" s="14"/>
    </row>
    <row r="247">
      <c r="P247" s="14"/>
      <c r="Q247" s="14"/>
      <c r="T247" s="14"/>
      <c r="U247" s="14"/>
      <c r="V247" s="14"/>
      <c r="W247" s="14"/>
    </row>
    <row r="248">
      <c r="P248" s="14"/>
      <c r="Q248" s="14"/>
      <c r="T248" s="14"/>
      <c r="U248" s="14"/>
      <c r="V248" s="14"/>
      <c r="W248" s="14"/>
    </row>
    <row r="249">
      <c r="P249" s="14"/>
      <c r="Q249" s="14"/>
      <c r="T249" s="14"/>
      <c r="U249" s="14"/>
      <c r="V249" s="14"/>
      <c r="W249" s="14"/>
    </row>
    <row r="250">
      <c r="P250" s="14"/>
      <c r="Q250" s="14"/>
      <c r="T250" s="14"/>
      <c r="U250" s="14"/>
      <c r="V250" s="14"/>
      <c r="W250" s="14"/>
    </row>
    <row r="251">
      <c r="P251" s="14"/>
      <c r="Q251" s="14"/>
      <c r="T251" s="14"/>
      <c r="U251" s="14"/>
      <c r="V251" s="14"/>
      <c r="W251" s="14"/>
    </row>
    <row r="252">
      <c r="P252" s="14"/>
      <c r="Q252" s="14"/>
      <c r="T252" s="14"/>
      <c r="U252" s="14"/>
      <c r="V252" s="14"/>
      <c r="W252" s="14"/>
    </row>
    <row r="253">
      <c r="P253" s="14"/>
      <c r="Q253" s="14"/>
      <c r="T253" s="14"/>
      <c r="U253" s="14"/>
      <c r="V253" s="14"/>
      <c r="W253" s="14"/>
    </row>
    <row r="254">
      <c r="P254" s="14"/>
      <c r="Q254" s="14"/>
      <c r="T254" s="14"/>
      <c r="U254" s="14"/>
      <c r="V254" s="14"/>
      <c r="W254" s="14"/>
    </row>
    <row r="255">
      <c r="P255" s="14"/>
      <c r="Q255" s="14"/>
      <c r="T255" s="14"/>
      <c r="U255" s="14"/>
      <c r="V255" s="14"/>
      <c r="W255" s="14"/>
    </row>
    <row r="256">
      <c r="P256" s="14"/>
      <c r="Q256" s="14"/>
      <c r="T256" s="14"/>
      <c r="U256" s="14"/>
      <c r="V256" s="14"/>
      <c r="W256" s="14"/>
    </row>
    <row r="257">
      <c r="P257" s="14"/>
      <c r="Q257" s="14"/>
      <c r="T257" s="14"/>
      <c r="U257" s="14"/>
      <c r="V257" s="14"/>
      <c r="W257" s="14"/>
    </row>
    <row r="258">
      <c r="P258" s="14"/>
      <c r="Q258" s="14"/>
      <c r="T258" s="14"/>
      <c r="U258" s="14"/>
      <c r="V258" s="14"/>
      <c r="W258" s="14"/>
    </row>
    <row r="259">
      <c r="P259" s="14"/>
      <c r="Q259" s="14"/>
      <c r="T259" s="14"/>
      <c r="U259" s="14"/>
      <c r="V259" s="14"/>
      <c r="W259" s="14"/>
    </row>
    <row r="260">
      <c r="P260" s="14"/>
      <c r="Q260" s="14"/>
      <c r="T260" s="14"/>
      <c r="U260" s="14"/>
      <c r="V260" s="14"/>
      <c r="W260" s="14"/>
    </row>
    <row r="261">
      <c r="P261" s="14"/>
      <c r="Q261" s="14"/>
      <c r="T261" s="14"/>
      <c r="U261" s="14"/>
      <c r="V261" s="14"/>
      <c r="W261" s="14"/>
    </row>
    <row r="262">
      <c r="P262" s="14"/>
      <c r="Q262" s="14"/>
      <c r="T262" s="14"/>
      <c r="U262" s="14"/>
      <c r="V262" s="14"/>
      <c r="W262" s="14"/>
    </row>
    <row r="263">
      <c r="P263" s="14"/>
      <c r="Q263" s="14"/>
      <c r="T263" s="14"/>
      <c r="U263" s="14"/>
      <c r="V263" s="14"/>
      <c r="W263" s="14"/>
    </row>
    <row r="264">
      <c r="P264" s="14"/>
      <c r="Q264" s="14"/>
      <c r="T264" s="14"/>
      <c r="U264" s="14"/>
      <c r="V264" s="14"/>
      <c r="W264" s="14"/>
    </row>
    <row r="265">
      <c r="P265" s="14"/>
      <c r="Q265" s="14"/>
      <c r="T265" s="14"/>
      <c r="U265" s="14"/>
      <c r="V265" s="14"/>
      <c r="W265" s="14"/>
    </row>
    <row r="266">
      <c r="P266" s="14"/>
      <c r="Q266" s="14"/>
      <c r="T266" s="14"/>
      <c r="U266" s="14"/>
      <c r="V266" s="14"/>
      <c r="W266" s="14"/>
    </row>
    <row r="267">
      <c r="P267" s="14"/>
      <c r="Q267" s="14"/>
      <c r="T267" s="14"/>
      <c r="U267" s="14"/>
      <c r="V267" s="14"/>
      <c r="W267" s="14"/>
    </row>
    <row r="268">
      <c r="P268" s="14"/>
      <c r="Q268" s="14"/>
      <c r="T268" s="14"/>
      <c r="U268" s="14"/>
      <c r="V268" s="14"/>
      <c r="W268" s="14"/>
    </row>
    <row r="269">
      <c r="P269" s="14"/>
      <c r="Q269" s="14"/>
      <c r="T269" s="14"/>
      <c r="U269" s="14"/>
      <c r="V269" s="14"/>
      <c r="W269" s="14"/>
    </row>
    <row r="270">
      <c r="P270" s="14"/>
      <c r="Q270" s="14"/>
      <c r="T270" s="14"/>
      <c r="U270" s="14"/>
      <c r="V270" s="14"/>
      <c r="W270" s="14"/>
    </row>
    <row r="271">
      <c r="P271" s="14"/>
      <c r="Q271" s="14"/>
      <c r="T271" s="14"/>
      <c r="U271" s="14"/>
      <c r="V271" s="14"/>
      <c r="W271" s="14"/>
    </row>
    <row r="272">
      <c r="P272" s="14"/>
      <c r="Q272" s="14"/>
      <c r="T272" s="14"/>
      <c r="U272" s="14"/>
      <c r="V272" s="14"/>
      <c r="W272" s="14"/>
    </row>
    <row r="273">
      <c r="P273" s="14"/>
      <c r="Q273" s="14"/>
      <c r="T273" s="14"/>
      <c r="U273" s="14"/>
      <c r="V273" s="14"/>
      <c r="W273" s="14"/>
    </row>
    <row r="274">
      <c r="P274" s="14"/>
      <c r="Q274" s="14"/>
      <c r="T274" s="14"/>
      <c r="U274" s="14"/>
      <c r="V274" s="14"/>
      <c r="W274" s="14"/>
    </row>
    <row r="275">
      <c r="P275" s="14"/>
      <c r="Q275" s="14"/>
      <c r="T275" s="14"/>
      <c r="U275" s="14"/>
      <c r="V275" s="14"/>
      <c r="W275" s="14"/>
    </row>
    <row r="276">
      <c r="P276" s="14"/>
      <c r="Q276" s="14"/>
      <c r="T276" s="14"/>
      <c r="U276" s="14"/>
      <c r="V276" s="14"/>
      <c r="W276" s="14"/>
    </row>
    <row r="277">
      <c r="P277" s="14"/>
      <c r="Q277" s="14"/>
      <c r="T277" s="14"/>
      <c r="U277" s="14"/>
      <c r="V277" s="14"/>
      <c r="W277" s="14"/>
    </row>
    <row r="278">
      <c r="P278" s="14"/>
      <c r="Q278" s="14"/>
      <c r="T278" s="14"/>
      <c r="U278" s="14"/>
      <c r="V278" s="14"/>
      <c r="W278" s="14"/>
    </row>
    <row r="279">
      <c r="P279" s="14"/>
      <c r="Q279" s="14"/>
      <c r="T279" s="14"/>
      <c r="U279" s="14"/>
      <c r="V279" s="14"/>
      <c r="W279" s="14"/>
    </row>
    <row r="280">
      <c r="P280" s="14"/>
      <c r="Q280" s="14"/>
      <c r="T280" s="14"/>
      <c r="U280" s="14"/>
      <c r="V280" s="14"/>
      <c r="W280" s="14"/>
    </row>
    <row r="281">
      <c r="P281" s="14"/>
      <c r="Q281" s="14"/>
      <c r="T281" s="14"/>
      <c r="U281" s="14"/>
      <c r="V281" s="14"/>
      <c r="W281" s="14"/>
    </row>
    <row r="282">
      <c r="P282" s="14"/>
      <c r="Q282" s="14"/>
      <c r="T282" s="14"/>
      <c r="U282" s="14"/>
      <c r="V282" s="14"/>
      <c r="W282" s="14"/>
    </row>
    <row r="283">
      <c r="P283" s="14"/>
      <c r="Q283" s="14"/>
      <c r="T283" s="14"/>
      <c r="U283" s="14"/>
      <c r="V283" s="14"/>
      <c r="W283" s="14"/>
    </row>
    <row r="284">
      <c r="P284" s="14"/>
      <c r="Q284" s="14"/>
      <c r="T284" s="14"/>
      <c r="U284" s="14"/>
      <c r="V284" s="14"/>
      <c r="W284" s="14"/>
    </row>
    <row r="285">
      <c r="P285" s="14"/>
      <c r="Q285" s="14"/>
      <c r="T285" s="14"/>
      <c r="U285" s="14"/>
      <c r="V285" s="14"/>
      <c r="W285" s="14"/>
    </row>
    <row r="286">
      <c r="P286" s="14"/>
      <c r="Q286" s="14"/>
      <c r="T286" s="14"/>
      <c r="U286" s="14"/>
      <c r="V286" s="14"/>
      <c r="W286" s="14"/>
    </row>
    <row r="287">
      <c r="P287" s="14"/>
      <c r="Q287" s="14"/>
      <c r="T287" s="14"/>
      <c r="U287" s="14"/>
      <c r="V287" s="14"/>
      <c r="W287" s="14"/>
    </row>
    <row r="288">
      <c r="P288" s="14"/>
      <c r="Q288" s="14"/>
      <c r="T288" s="14"/>
      <c r="U288" s="14"/>
      <c r="V288" s="14"/>
      <c r="W288" s="14"/>
    </row>
    <row r="289">
      <c r="P289" s="14"/>
      <c r="Q289" s="14"/>
      <c r="T289" s="14"/>
      <c r="U289" s="14"/>
      <c r="V289" s="14"/>
      <c r="W289" s="14"/>
    </row>
    <row r="290">
      <c r="P290" s="14"/>
      <c r="Q290" s="14"/>
      <c r="T290" s="14"/>
      <c r="U290" s="14"/>
      <c r="V290" s="14"/>
      <c r="W290" s="14"/>
    </row>
    <row r="291">
      <c r="P291" s="14"/>
      <c r="Q291" s="14"/>
      <c r="T291" s="14"/>
      <c r="U291" s="14"/>
      <c r="V291" s="14"/>
      <c r="W291" s="14"/>
    </row>
    <row r="292">
      <c r="P292" s="14"/>
      <c r="Q292" s="14"/>
      <c r="T292" s="14"/>
      <c r="U292" s="14"/>
      <c r="V292" s="14"/>
      <c r="W292" s="14"/>
    </row>
    <row r="293">
      <c r="P293" s="14"/>
      <c r="Q293" s="14"/>
      <c r="T293" s="14"/>
      <c r="U293" s="14"/>
      <c r="V293" s="14"/>
      <c r="W293" s="14"/>
    </row>
    <row r="294">
      <c r="P294" s="14"/>
      <c r="Q294" s="14"/>
      <c r="T294" s="14"/>
      <c r="U294" s="14"/>
      <c r="V294" s="14"/>
      <c r="W294" s="14"/>
    </row>
    <row r="295">
      <c r="P295" s="14"/>
      <c r="Q295" s="14"/>
      <c r="T295" s="14"/>
      <c r="U295" s="14"/>
      <c r="V295" s="14"/>
      <c r="W295" s="14"/>
    </row>
    <row r="296">
      <c r="P296" s="14"/>
      <c r="Q296" s="14"/>
      <c r="T296" s="14"/>
      <c r="U296" s="14"/>
      <c r="V296" s="14"/>
      <c r="W296" s="14"/>
    </row>
    <row r="297">
      <c r="P297" s="14"/>
      <c r="Q297" s="14"/>
      <c r="T297" s="14"/>
      <c r="U297" s="14"/>
      <c r="V297" s="14"/>
      <c r="W297" s="14"/>
    </row>
    <row r="298">
      <c r="P298" s="14"/>
      <c r="Q298" s="14"/>
      <c r="T298" s="14"/>
      <c r="U298" s="14"/>
      <c r="V298" s="14"/>
      <c r="W298" s="14"/>
    </row>
    <row r="299">
      <c r="P299" s="14"/>
      <c r="Q299" s="14"/>
      <c r="T299" s="14"/>
      <c r="U299" s="14"/>
      <c r="V299" s="14"/>
      <c r="W299" s="14"/>
    </row>
    <row r="300">
      <c r="P300" s="14"/>
      <c r="Q300" s="14"/>
      <c r="T300" s="14"/>
      <c r="U300" s="14"/>
      <c r="V300" s="14"/>
      <c r="W300" s="14"/>
    </row>
    <row r="301">
      <c r="P301" s="14"/>
      <c r="Q301" s="14"/>
      <c r="T301" s="14"/>
      <c r="U301" s="14"/>
      <c r="V301" s="14"/>
      <c r="W301" s="14"/>
    </row>
    <row r="302">
      <c r="P302" s="14"/>
      <c r="Q302" s="14"/>
      <c r="T302" s="14"/>
      <c r="U302" s="14"/>
      <c r="V302" s="14"/>
      <c r="W302" s="14"/>
    </row>
    <row r="303">
      <c r="P303" s="14"/>
      <c r="Q303" s="14"/>
      <c r="T303" s="14"/>
      <c r="U303" s="14"/>
      <c r="V303" s="14"/>
      <c r="W303" s="14"/>
    </row>
    <row r="304">
      <c r="P304" s="14"/>
      <c r="Q304" s="14"/>
      <c r="T304" s="14"/>
      <c r="U304" s="14"/>
      <c r="V304" s="14"/>
      <c r="W304" s="14"/>
    </row>
    <row r="305">
      <c r="P305" s="14"/>
      <c r="Q305" s="14"/>
      <c r="T305" s="14"/>
      <c r="U305" s="14"/>
      <c r="V305" s="14"/>
      <c r="W305" s="14"/>
    </row>
    <row r="306">
      <c r="P306" s="14"/>
      <c r="Q306" s="14"/>
      <c r="T306" s="14"/>
      <c r="U306" s="14"/>
      <c r="V306" s="14"/>
      <c r="W306" s="14"/>
    </row>
    <row r="307">
      <c r="P307" s="14"/>
      <c r="Q307" s="14"/>
      <c r="T307" s="14"/>
      <c r="U307" s="14"/>
      <c r="V307" s="14"/>
      <c r="W307" s="14"/>
    </row>
    <row r="308">
      <c r="P308" s="14"/>
      <c r="Q308" s="14"/>
      <c r="T308" s="14"/>
      <c r="U308" s="14"/>
      <c r="V308" s="14"/>
      <c r="W308" s="14"/>
    </row>
    <row r="309">
      <c r="P309" s="14"/>
      <c r="Q309" s="14"/>
      <c r="T309" s="14"/>
      <c r="U309" s="14"/>
      <c r="V309" s="14"/>
      <c r="W309" s="14"/>
    </row>
    <row r="310">
      <c r="P310" s="14"/>
      <c r="Q310" s="14"/>
      <c r="T310" s="14"/>
      <c r="U310" s="14"/>
      <c r="V310" s="14"/>
      <c r="W310" s="14"/>
    </row>
    <row r="311">
      <c r="P311" s="14"/>
      <c r="Q311" s="14"/>
      <c r="T311" s="14"/>
      <c r="U311" s="14"/>
      <c r="V311" s="14"/>
      <c r="W311" s="14"/>
    </row>
    <row r="312">
      <c r="P312" s="14"/>
      <c r="Q312" s="14"/>
      <c r="T312" s="14"/>
      <c r="U312" s="14"/>
      <c r="V312" s="14"/>
      <c r="W312" s="14"/>
    </row>
    <row r="313">
      <c r="P313" s="14"/>
      <c r="Q313" s="14"/>
      <c r="T313" s="14"/>
      <c r="U313" s="14"/>
      <c r="V313" s="14"/>
      <c r="W313" s="14"/>
    </row>
    <row r="314">
      <c r="P314" s="14"/>
      <c r="Q314" s="14"/>
      <c r="T314" s="14"/>
      <c r="U314" s="14"/>
      <c r="V314" s="14"/>
      <c r="W314" s="14"/>
    </row>
    <row r="315">
      <c r="P315" s="14"/>
      <c r="Q315" s="14"/>
      <c r="T315" s="14"/>
      <c r="U315" s="14"/>
      <c r="V315" s="14"/>
      <c r="W315" s="14"/>
    </row>
    <row r="316">
      <c r="P316" s="14"/>
      <c r="Q316" s="14"/>
      <c r="T316" s="14"/>
      <c r="U316" s="14"/>
      <c r="V316" s="14"/>
      <c r="W316" s="14"/>
    </row>
    <row r="317">
      <c r="P317" s="14"/>
      <c r="Q317" s="14"/>
      <c r="T317" s="14"/>
      <c r="U317" s="14"/>
      <c r="V317" s="14"/>
      <c r="W317" s="14"/>
    </row>
    <row r="318">
      <c r="P318" s="14"/>
      <c r="Q318" s="14"/>
      <c r="T318" s="14"/>
      <c r="U318" s="14"/>
      <c r="V318" s="14"/>
      <c r="W318" s="14"/>
    </row>
    <row r="319">
      <c r="P319" s="14"/>
      <c r="Q319" s="14"/>
      <c r="T319" s="14"/>
      <c r="U319" s="14"/>
      <c r="V319" s="14"/>
      <c r="W319" s="14"/>
    </row>
    <row r="320">
      <c r="P320" s="14"/>
      <c r="Q320" s="14"/>
      <c r="T320" s="14"/>
      <c r="U320" s="14"/>
      <c r="V320" s="14"/>
      <c r="W320" s="14"/>
    </row>
    <row r="321">
      <c r="P321" s="14"/>
      <c r="Q321" s="14"/>
      <c r="T321" s="14"/>
      <c r="U321" s="14"/>
      <c r="V321" s="14"/>
      <c r="W321" s="14"/>
    </row>
    <row r="322">
      <c r="P322" s="14"/>
      <c r="Q322" s="14"/>
      <c r="T322" s="14"/>
      <c r="U322" s="14"/>
      <c r="V322" s="14"/>
      <c r="W322" s="14"/>
    </row>
    <row r="323">
      <c r="P323" s="14"/>
      <c r="Q323" s="14"/>
      <c r="T323" s="14"/>
      <c r="U323" s="14"/>
      <c r="V323" s="14"/>
      <c r="W323" s="14"/>
    </row>
    <row r="324">
      <c r="P324" s="14"/>
      <c r="Q324" s="14"/>
      <c r="T324" s="14"/>
      <c r="U324" s="14"/>
      <c r="V324" s="14"/>
      <c r="W324" s="14"/>
    </row>
    <row r="325">
      <c r="P325" s="14"/>
      <c r="Q325" s="14"/>
      <c r="T325" s="14"/>
      <c r="U325" s="14"/>
      <c r="V325" s="14"/>
      <c r="W325" s="14"/>
    </row>
    <row r="326">
      <c r="P326" s="14"/>
      <c r="Q326" s="14"/>
      <c r="T326" s="14"/>
      <c r="U326" s="14"/>
      <c r="V326" s="14"/>
      <c r="W326" s="14"/>
    </row>
    <row r="327">
      <c r="P327" s="14"/>
      <c r="Q327" s="14"/>
      <c r="T327" s="14"/>
      <c r="U327" s="14"/>
      <c r="V327" s="14"/>
      <c r="W327" s="14"/>
    </row>
    <row r="328">
      <c r="P328" s="14"/>
      <c r="Q328" s="14"/>
      <c r="T328" s="14"/>
      <c r="U328" s="14"/>
      <c r="V328" s="14"/>
      <c r="W328" s="14"/>
    </row>
    <row r="329">
      <c r="P329" s="14"/>
      <c r="Q329" s="14"/>
      <c r="T329" s="14"/>
      <c r="U329" s="14"/>
      <c r="V329" s="14"/>
      <c r="W329" s="14"/>
    </row>
    <row r="330">
      <c r="P330" s="14"/>
      <c r="Q330" s="14"/>
      <c r="T330" s="14"/>
      <c r="U330" s="14"/>
      <c r="V330" s="14"/>
      <c r="W330" s="14"/>
    </row>
    <row r="331">
      <c r="P331" s="14"/>
      <c r="Q331" s="14"/>
      <c r="T331" s="14"/>
      <c r="U331" s="14"/>
      <c r="V331" s="14"/>
      <c r="W331" s="14"/>
    </row>
    <row r="332">
      <c r="P332" s="14"/>
      <c r="Q332" s="14"/>
      <c r="T332" s="14"/>
      <c r="U332" s="14"/>
      <c r="V332" s="14"/>
      <c r="W332" s="14"/>
    </row>
    <row r="333">
      <c r="P333" s="14"/>
      <c r="Q333" s="14"/>
      <c r="T333" s="14"/>
      <c r="U333" s="14"/>
      <c r="V333" s="14"/>
      <c r="W333" s="14"/>
    </row>
    <row r="334">
      <c r="P334" s="14"/>
      <c r="Q334" s="14"/>
      <c r="T334" s="14"/>
      <c r="U334" s="14"/>
      <c r="V334" s="14"/>
      <c r="W334" s="14"/>
    </row>
    <row r="335">
      <c r="P335" s="14"/>
      <c r="Q335" s="14"/>
      <c r="T335" s="14"/>
      <c r="U335" s="14"/>
      <c r="V335" s="14"/>
      <c r="W335" s="14"/>
    </row>
    <row r="336">
      <c r="P336" s="14"/>
      <c r="Q336" s="14"/>
      <c r="T336" s="14"/>
      <c r="U336" s="14"/>
      <c r="V336" s="14"/>
      <c r="W336" s="14"/>
    </row>
    <row r="337">
      <c r="P337" s="14"/>
      <c r="Q337" s="14"/>
      <c r="T337" s="14"/>
      <c r="U337" s="14"/>
      <c r="V337" s="14"/>
      <c r="W337" s="14"/>
    </row>
    <row r="338">
      <c r="P338" s="14"/>
      <c r="Q338" s="14"/>
      <c r="T338" s="14"/>
      <c r="U338" s="14"/>
      <c r="V338" s="14"/>
      <c r="W338" s="14"/>
    </row>
    <row r="339">
      <c r="P339" s="14"/>
      <c r="Q339" s="14"/>
      <c r="T339" s="14"/>
      <c r="U339" s="14"/>
      <c r="V339" s="14"/>
      <c r="W339" s="14"/>
    </row>
    <row r="340">
      <c r="P340" s="14"/>
      <c r="Q340" s="14"/>
      <c r="T340" s="14"/>
      <c r="U340" s="14"/>
      <c r="V340" s="14"/>
      <c r="W340" s="14"/>
    </row>
    <row r="341">
      <c r="P341" s="14"/>
      <c r="Q341" s="14"/>
      <c r="T341" s="14"/>
      <c r="U341" s="14"/>
      <c r="V341" s="14"/>
      <c r="W341" s="14"/>
    </row>
    <row r="342">
      <c r="P342" s="14"/>
      <c r="Q342" s="14"/>
      <c r="T342" s="14"/>
      <c r="U342" s="14"/>
      <c r="V342" s="14"/>
      <c r="W342" s="14"/>
    </row>
    <row r="343">
      <c r="P343" s="14"/>
      <c r="Q343" s="14"/>
      <c r="T343" s="14"/>
      <c r="U343" s="14"/>
      <c r="V343" s="14"/>
      <c r="W343" s="14"/>
    </row>
    <row r="344">
      <c r="P344" s="14"/>
      <c r="Q344" s="14"/>
      <c r="T344" s="14"/>
      <c r="U344" s="14"/>
      <c r="V344" s="14"/>
      <c r="W344" s="14"/>
    </row>
    <row r="345">
      <c r="P345" s="14"/>
      <c r="Q345" s="14"/>
      <c r="T345" s="14"/>
      <c r="U345" s="14"/>
      <c r="V345" s="14"/>
      <c r="W345" s="14"/>
    </row>
    <row r="346">
      <c r="P346" s="14"/>
      <c r="Q346" s="14"/>
      <c r="T346" s="14"/>
      <c r="U346" s="14"/>
      <c r="V346" s="14"/>
      <c r="W346" s="14"/>
    </row>
    <row r="347">
      <c r="P347" s="14"/>
      <c r="Q347" s="14"/>
      <c r="T347" s="14"/>
      <c r="U347" s="14"/>
      <c r="V347" s="14"/>
      <c r="W347" s="14"/>
    </row>
    <row r="348">
      <c r="P348" s="14"/>
      <c r="Q348" s="14"/>
      <c r="T348" s="14"/>
      <c r="U348" s="14"/>
      <c r="V348" s="14"/>
      <c r="W348" s="14"/>
    </row>
    <row r="349">
      <c r="P349" s="14"/>
      <c r="Q349" s="14"/>
      <c r="T349" s="14"/>
      <c r="U349" s="14"/>
      <c r="V349" s="14"/>
      <c r="W349" s="14"/>
    </row>
    <row r="350">
      <c r="P350" s="14"/>
      <c r="Q350" s="14"/>
      <c r="T350" s="14"/>
      <c r="U350" s="14"/>
      <c r="V350" s="14"/>
      <c r="W350" s="14"/>
    </row>
    <row r="351">
      <c r="P351" s="14"/>
      <c r="Q351" s="14"/>
      <c r="T351" s="14"/>
      <c r="U351" s="14"/>
      <c r="V351" s="14"/>
      <c r="W351" s="14"/>
    </row>
    <row r="352">
      <c r="P352" s="14"/>
      <c r="Q352" s="14"/>
      <c r="T352" s="14"/>
      <c r="U352" s="14"/>
      <c r="V352" s="14"/>
      <c r="W352" s="14"/>
    </row>
    <row r="353">
      <c r="P353" s="14"/>
      <c r="Q353" s="14"/>
      <c r="T353" s="14"/>
      <c r="U353" s="14"/>
      <c r="V353" s="14"/>
      <c r="W353" s="14"/>
    </row>
    <row r="354">
      <c r="P354" s="14"/>
      <c r="Q354" s="14"/>
      <c r="T354" s="14"/>
      <c r="U354" s="14"/>
      <c r="V354" s="14"/>
      <c r="W354" s="14"/>
    </row>
    <row r="355">
      <c r="P355" s="14"/>
      <c r="Q355" s="14"/>
      <c r="T355" s="14"/>
      <c r="U355" s="14"/>
      <c r="V355" s="14"/>
      <c r="W355" s="14"/>
    </row>
    <row r="356">
      <c r="P356" s="14"/>
      <c r="Q356" s="14"/>
      <c r="T356" s="14"/>
      <c r="U356" s="14"/>
      <c r="V356" s="14"/>
      <c r="W356" s="14"/>
    </row>
    <row r="357">
      <c r="P357" s="14"/>
      <c r="Q357" s="14"/>
      <c r="T357" s="14"/>
      <c r="U357" s="14"/>
      <c r="V357" s="14"/>
      <c r="W357" s="14"/>
    </row>
    <row r="358">
      <c r="P358" s="14"/>
      <c r="Q358" s="14"/>
      <c r="T358" s="14"/>
      <c r="U358" s="14"/>
      <c r="V358" s="14"/>
      <c r="W358" s="14"/>
    </row>
    <row r="359">
      <c r="P359" s="14"/>
      <c r="Q359" s="14"/>
      <c r="T359" s="14"/>
      <c r="U359" s="14"/>
      <c r="V359" s="14"/>
      <c r="W359" s="14"/>
    </row>
    <row r="360">
      <c r="P360" s="14"/>
      <c r="Q360" s="14"/>
      <c r="T360" s="14"/>
      <c r="U360" s="14"/>
      <c r="V360" s="14"/>
      <c r="W360" s="14"/>
    </row>
    <row r="361">
      <c r="P361" s="14"/>
      <c r="Q361" s="14"/>
      <c r="T361" s="14"/>
      <c r="U361" s="14"/>
      <c r="V361" s="14"/>
      <c r="W361" s="14"/>
    </row>
    <row r="362">
      <c r="P362" s="14"/>
      <c r="Q362" s="14"/>
      <c r="T362" s="14"/>
      <c r="U362" s="14"/>
      <c r="V362" s="14"/>
      <c r="W362" s="14"/>
    </row>
    <row r="363">
      <c r="P363" s="14"/>
      <c r="Q363" s="14"/>
      <c r="T363" s="14"/>
      <c r="U363" s="14"/>
      <c r="V363" s="14"/>
      <c r="W363" s="14"/>
    </row>
    <row r="364">
      <c r="P364" s="14"/>
      <c r="Q364" s="14"/>
      <c r="T364" s="14"/>
      <c r="U364" s="14"/>
      <c r="V364" s="14"/>
      <c r="W364" s="14"/>
    </row>
    <row r="365">
      <c r="P365" s="14"/>
      <c r="Q365" s="14"/>
      <c r="T365" s="14"/>
      <c r="U365" s="14"/>
      <c r="V365" s="14"/>
      <c r="W365" s="14"/>
    </row>
    <row r="366">
      <c r="P366" s="14"/>
      <c r="Q366" s="14"/>
      <c r="T366" s="14"/>
      <c r="U366" s="14"/>
      <c r="V366" s="14"/>
      <c r="W366" s="14"/>
    </row>
    <row r="367">
      <c r="P367" s="14"/>
      <c r="Q367" s="14"/>
      <c r="T367" s="14"/>
      <c r="U367" s="14"/>
      <c r="V367" s="14"/>
      <c r="W367" s="14"/>
    </row>
    <row r="368">
      <c r="P368" s="14"/>
      <c r="Q368" s="14"/>
      <c r="T368" s="14"/>
      <c r="U368" s="14"/>
      <c r="V368" s="14"/>
      <c r="W368" s="14"/>
    </row>
    <row r="369">
      <c r="P369" s="14"/>
      <c r="Q369" s="14"/>
      <c r="T369" s="14"/>
      <c r="U369" s="14"/>
      <c r="V369" s="14"/>
      <c r="W369" s="14"/>
    </row>
    <row r="370">
      <c r="P370" s="14"/>
      <c r="Q370" s="14"/>
      <c r="T370" s="14"/>
      <c r="U370" s="14"/>
      <c r="V370" s="14"/>
      <c r="W370" s="14"/>
    </row>
    <row r="371">
      <c r="P371" s="14"/>
      <c r="Q371" s="14"/>
      <c r="T371" s="14"/>
      <c r="U371" s="14"/>
      <c r="V371" s="14"/>
      <c r="W371" s="14"/>
    </row>
    <row r="372">
      <c r="P372" s="14"/>
      <c r="Q372" s="14"/>
      <c r="T372" s="14"/>
      <c r="U372" s="14"/>
      <c r="V372" s="14"/>
      <c r="W372" s="14"/>
    </row>
    <row r="373">
      <c r="P373" s="14"/>
      <c r="Q373" s="14"/>
      <c r="T373" s="14"/>
      <c r="U373" s="14"/>
      <c r="V373" s="14"/>
      <c r="W373" s="14"/>
    </row>
    <row r="374">
      <c r="P374" s="14"/>
      <c r="Q374" s="14"/>
      <c r="T374" s="14"/>
      <c r="U374" s="14"/>
      <c r="V374" s="14"/>
      <c r="W374" s="14"/>
    </row>
    <row r="375">
      <c r="P375" s="14"/>
      <c r="Q375" s="14"/>
      <c r="T375" s="14"/>
      <c r="U375" s="14"/>
      <c r="V375" s="14"/>
      <c r="W375" s="14"/>
    </row>
    <row r="376">
      <c r="P376" s="14"/>
      <c r="Q376" s="14"/>
      <c r="T376" s="14"/>
      <c r="U376" s="14"/>
      <c r="V376" s="14"/>
      <c r="W376" s="14"/>
    </row>
    <row r="377">
      <c r="P377" s="14"/>
      <c r="Q377" s="14"/>
      <c r="T377" s="14"/>
      <c r="U377" s="14"/>
      <c r="V377" s="14"/>
      <c r="W377" s="14"/>
    </row>
    <row r="378">
      <c r="P378" s="14"/>
      <c r="Q378" s="14"/>
      <c r="T378" s="14"/>
      <c r="U378" s="14"/>
      <c r="V378" s="14"/>
      <c r="W378" s="14"/>
    </row>
    <row r="379">
      <c r="P379" s="14"/>
      <c r="Q379" s="14"/>
      <c r="T379" s="14"/>
      <c r="U379" s="14"/>
      <c r="V379" s="14"/>
      <c r="W379" s="14"/>
    </row>
    <row r="380">
      <c r="P380" s="14"/>
      <c r="Q380" s="14"/>
      <c r="T380" s="14"/>
      <c r="U380" s="14"/>
      <c r="V380" s="14"/>
      <c r="W380" s="14"/>
    </row>
    <row r="381">
      <c r="P381" s="14"/>
      <c r="Q381" s="14"/>
      <c r="T381" s="14"/>
      <c r="U381" s="14"/>
      <c r="V381" s="14"/>
      <c r="W381" s="14"/>
    </row>
    <row r="382">
      <c r="P382" s="14"/>
      <c r="Q382" s="14"/>
      <c r="T382" s="14"/>
      <c r="U382" s="14"/>
      <c r="V382" s="14"/>
      <c r="W382" s="14"/>
    </row>
    <row r="383">
      <c r="P383" s="14"/>
      <c r="Q383" s="14"/>
      <c r="T383" s="14"/>
      <c r="U383" s="14"/>
      <c r="V383" s="14"/>
      <c r="W383" s="14"/>
    </row>
    <row r="384">
      <c r="P384" s="14"/>
      <c r="Q384" s="14"/>
      <c r="T384" s="14"/>
      <c r="U384" s="14"/>
      <c r="V384" s="14"/>
      <c r="W384" s="14"/>
    </row>
    <row r="385">
      <c r="P385" s="14"/>
      <c r="Q385" s="14"/>
      <c r="T385" s="14"/>
      <c r="U385" s="14"/>
      <c r="V385" s="14"/>
      <c r="W385" s="14"/>
    </row>
    <row r="386">
      <c r="P386" s="14"/>
      <c r="Q386" s="14"/>
      <c r="T386" s="14"/>
      <c r="U386" s="14"/>
      <c r="V386" s="14"/>
      <c r="W386" s="14"/>
    </row>
    <row r="387">
      <c r="P387" s="14"/>
      <c r="Q387" s="14"/>
      <c r="T387" s="14"/>
      <c r="U387" s="14"/>
      <c r="V387" s="14"/>
      <c r="W387" s="14"/>
    </row>
    <row r="388">
      <c r="P388" s="14"/>
      <c r="Q388" s="14"/>
      <c r="T388" s="14"/>
      <c r="U388" s="14"/>
      <c r="V388" s="14"/>
      <c r="W388" s="14"/>
    </row>
    <row r="389">
      <c r="P389" s="14"/>
      <c r="Q389" s="14"/>
      <c r="T389" s="14"/>
      <c r="U389" s="14"/>
      <c r="V389" s="14"/>
      <c r="W389" s="14"/>
    </row>
    <row r="390">
      <c r="P390" s="14"/>
      <c r="Q390" s="14"/>
      <c r="T390" s="14"/>
      <c r="U390" s="14"/>
      <c r="V390" s="14"/>
      <c r="W390" s="14"/>
    </row>
    <row r="391">
      <c r="P391" s="14"/>
      <c r="Q391" s="14"/>
      <c r="T391" s="14"/>
      <c r="U391" s="14"/>
      <c r="V391" s="14"/>
      <c r="W391" s="14"/>
    </row>
    <row r="392">
      <c r="P392" s="14"/>
      <c r="Q392" s="14"/>
      <c r="T392" s="14"/>
      <c r="U392" s="14"/>
      <c r="V392" s="14"/>
      <c r="W392" s="14"/>
    </row>
    <row r="393">
      <c r="P393" s="14"/>
      <c r="Q393" s="14"/>
      <c r="T393" s="14"/>
      <c r="U393" s="14"/>
      <c r="V393" s="14"/>
      <c r="W393" s="14"/>
    </row>
    <row r="394">
      <c r="P394" s="14"/>
      <c r="Q394" s="14"/>
      <c r="T394" s="14"/>
      <c r="U394" s="14"/>
      <c r="V394" s="14"/>
      <c r="W394" s="14"/>
    </row>
    <row r="395">
      <c r="P395" s="14"/>
      <c r="Q395" s="14"/>
      <c r="T395" s="14"/>
      <c r="U395" s="14"/>
      <c r="V395" s="14"/>
      <c r="W395" s="14"/>
    </row>
    <row r="396">
      <c r="P396" s="14"/>
      <c r="Q396" s="14"/>
      <c r="T396" s="14"/>
      <c r="U396" s="14"/>
      <c r="V396" s="14"/>
      <c r="W396" s="14"/>
    </row>
    <row r="397">
      <c r="P397" s="14"/>
      <c r="Q397" s="14"/>
      <c r="T397" s="14"/>
      <c r="U397" s="14"/>
      <c r="V397" s="14"/>
      <c r="W397" s="14"/>
    </row>
    <row r="398">
      <c r="P398" s="14"/>
      <c r="Q398" s="14"/>
      <c r="T398" s="14"/>
      <c r="U398" s="14"/>
      <c r="V398" s="14"/>
      <c r="W398" s="14"/>
    </row>
    <row r="399">
      <c r="P399" s="14"/>
      <c r="Q399" s="14"/>
      <c r="T399" s="14"/>
      <c r="U399" s="14"/>
      <c r="V399" s="14"/>
      <c r="W399" s="14"/>
    </row>
    <row r="400">
      <c r="P400" s="14"/>
      <c r="Q400" s="14"/>
      <c r="T400" s="14"/>
      <c r="U400" s="14"/>
      <c r="V400" s="14"/>
      <c r="W400" s="14"/>
    </row>
    <row r="401">
      <c r="P401" s="14"/>
      <c r="Q401" s="14"/>
      <c r="T401" s="14"/>
      <c r="U401" s="14"/>
      <c r="V401" s="14"/>
      <c r="W401" s="14"/>
    </row>
    <row r="402">
      <c r="P402" s="14"/>
      <c r="Q402" s="14"/>
      <c r="T402" s="14"/>
      <c r="U402" s="14"/>
      <c r="V402" s="14"/>
      <c r="W402" s="14"/>
    </row>
    <row r="403">
      <c r="P403" s="14"/>
      <c r="Q403" s="14"/>
      <c r="T403" s="14"/>
      <c r="U403" s="14"/>
      <c r="V403" s="14"/>
      <c r="W403" s="14"/>
    </row>
    <row r="404">
      <c r="P404" s="14"/>
      <c r="Q404" s="14"/>
      <c r="T404" s="14"/>
      <c r="U404" s="14"/>
      <c r="V404" s="14"/>
      <c r="W404" s="14"/>
    </row>
    <row r="405">
      <c r="P405" s="14"/>
      <c r="Q405" s="14"/>
      <c r="T405" s="14"/>
      <c r="U405" s="14"/>
      <c r="V405" s="14"/>
      <c r="W405" s="14"/>
    </row>
    <row r="406">
      <c r="P406" s="14"/>
      <c r="Q406" s="14"/>
      <c r="T406" s="14"/>
      <c r="U406" s="14"/>
      <c r="V406" s="14"/>
      <c r="W406" s="14"/>
    </row>
    <row r="407">
      <c r="P407" s="14"/>
      <c r="Q407" s="14"/>
      <c r="T407" s="14"/>
      <c r="U407" s="14"/>
      <c r="V407" s="14"/>
      <c r="W407" s="14"/>
    </row>
    <row r="408">
      <c r="P408" s="14"/>
      <c r="Q408" s="14"/>
      <c r="T408" s="14"/>
      <c r="U408" s="14"/>
      <c r="V408" s="14"/>
      <c r="W408" s="14"/>
    </row>
    <row r="409">
      <c r="P409" s="14"/>
      <c r="Q409" s="14"/>
      <c r="T409" s="14"/>
      <c r="U409" s="14"/>
      <c r="V409" s="14"/>
      <c r="W409" s="14"/>
    </row>
    <row r="410">
      <c r="P410" s="14"/>
      <c r="Q410" s="14"/>
      <c r="T410" s="14"/>
      <c r="U410" s="14"/>
      <c r="V410" s="14"/>
      <c r="W410" s="14"/>
    </row>
    <row r="411">
      <c r="P411" s="14"/>
      <c r="Q411" s="14"/>
      <c r="T411" s="14"/>
      <c r="U411" s="14"/>
      <c r="V411" s="14"/>
      <c r="W411" s="14"/>
    </row>
    <row r="412">
      <c r="P412" s="14"/>
      <c r="Q412" s="14"/>
      <c r="T412" s="14"/>
      <c r="U412" s="14"/>
      <c r="V412" s="14"/>
      <c r="W412" s="14"/>
    </row>
    <row r="413">
      <c r="P413" s="14"/>
      <c r="Q413" s="14"/>
      <c r="T413" s="14"/>
      <c r="U413" s="14"/>
      <c r="V413" s="14"/>
      <c r="W413" s="14"/>
    </row>
    <row r="414">
      <c r="P414" s="14"/>
      <c r="Q414" s="14"/>
      <c r="T414" s="14"/>
      <c r="U414" s="14"/>
      <c r="V414" s="14"/>
      <c r="W414" s="14"/>
    </row>
    <row r="415">
      <c r="P415" s="14"/>
      <c r="Q415" s="14"/>
      <c r="T415" s="14"/>
      <c r="U415" s="14"/>
      <c r="V415" s="14"/>
      <c r="W415" s="14"/>
    </row>
    <row r="416">
      <c r="P416" s="14"/>
      <c r="Q416" s="14"/>
      <c r="T416" s="14"/>
      <c r="U416" s="14"/>
      <c r="V416" s="14"/>
      <c r="W416" s="14"/>
    </row>
    <row r="417">
      <c r="P417" s="14"/>
      <c r="Q417" s="14"/>
      <c r="T417" s="14"/>
      <c r="U417" s="14"/>
      <c r="V417" s="14"/>
      <c r="W417" s="14"/>
    </row>
    <row r="418">
      <c r="P418" s="14"/>
      <c r="Q418" s="14"/>
      <c r="T418" s="14"/>
      <c r="U418" s="14"/>
      <c r="V418" s="14"/>
      <c r="W418" s="14"/>
    </row>
    <row r="419">
      <c r="P419" s="14"/>
      <c r="Q419" s="14"/>
      <c r="T419" s="14"/>
      <c r="U419" s="14"/>
      <c r="V419" s="14"/>
      <c r="W419" s="14"/>
    </row>
    <row r="420">
      <c r="P420" s="14"/>
      <c r="Q420" s="14"/>
      <c r="T420" s="14"/>
      <c r="U420" s="14"/>
      <c r="V420" s="14"/>
      <c r="W420" s="14"/>
    </row>
    <row r="421">
      <c r="P421" s="14"/>
      <c r="Q421" s="14"/>
      <c r="T421" s="14"/>
      <c r="U421" s="14"/>
      <c r="V421" s="14"/>
      <c r="W421" s="14"/>
    </row>
    <row r="422">
      <c r="P422" s="14"/>
      <c r="Q422" s="14"/>
      <c r="T422" s="14"/>
      <c r="U422" s="14"/>
      <c r="V422" s="14"/>
      <c r="W422" s="14"/>
    </row>
    <row r="423">
      <c r="P423" s="14"/>
      <c r="Q423" s="14"/>
      <c r="T423" s="14"/>
      <c r="U423" s="14"/>
      <c r="V423" s="14"/>
      <c r="W423" s="14"/>
    </row>
    <row r="424">
      <c r="P424" s="14"/>
      <c r="Q424" s="14"/>
      <c r="T424" s="14"/>
      <c r="U424" s="14"/>
      <c r="V424" s="14"/>
      <c r="W424" s="14"/>
    </row>
    <row r="425">
      <c r="P425" s="14"/>
      <c r="Q425" s="14"/>
      <c r="T425" s="14"/>
      <c r="U425" s="14"/>
      <c r="V425" s="14"/>
      <c r="W425" s="14"/>
    </row>
    <row r="426">
      <c r="P426" s="14"/>
      <c r="Q426" s="14"/>
      <c r="T426" s="14"/>
      <c r="U426" s="14"/>
      <c r="V426" s="14"/>
      <c r="W426" s="14"/>
    </row>
    <row r="427">
      <c r="P427" s="14"/>
      <c r="Q427" s="14"/>
      <c r="T427" s="14"/>
      <c r="U427" s="14"/>
      <c r="V427" s="14"/>
      <c r="W427" s="14"/>
    </row>
    <row r="428">
      <c r="P428" s="14"/>
      <c r="Q428" s="14"/>
      <c r="T428" s="14"/>
      <c r="U428" s="14"/>
      <c r="V428" s="14"/>
      <c r="W428" s="14"/>
    </row>
    <row r="429">
      <c r="P429" s="14"/>
      <c r="Q429" s="14"/>
      <c r="T429" s="14"/>
      <c r="U429" s="14"/>
      <c r="V429" s="14"/>
      <c r="W429" s="14"/>
    </row>
    <row r="430">
      <c r="P430" s="14"/>
      <c r="Q430" s="14"/>
      <c r="T430" s="14"/>
      <c r="U430" s="14"/>
      <c r="V430" s="14"/>
      <c r="W430" s="14"/>
    </row>
    <row r="431">
      <c r="P431" s="14"/>
      <c r="Q431" s="14"/>
      <c r="T431" s="14"/>
      <c r="U431" s="14"/>
      <c r="V431" s="14"/>
      <c r="W431" s="14"/>
    </row>
    <row r="432">
      <c r="P432" s="14"/>
      <c r="Q432" s="14"/>
      <c r="T432" s="14"/>
      <c r="U432" s="14"/>
      <c r="V432" s="14"/>
      <c r="W432" s="14"/>
    </row>
    <row r="433">
      <c r="P433" s="14"/>
      <c r="Q433" s="14"/>
      <c r="T433" s="14"/>
      <c r="U433" s="14"/>
      <c r="V433" s="14"/>
      <c r="W433" s="14"/>
    </row>
    <row r="434">
      <c r="P434" s="14"/>
      <c r="Q434" s="14"/>
      <c r="T434" s="14"/>
      <c r="U434" s="14"/>
      <c r="V434" s="14"/>
      <c r="W434" s="14"/>
    </row>
    <row r="435">
      <c r="P435" s="14"/>
      <c r="Q435" s="14"/>
      <c r="T435" s="14"/>
      <c r="U435" s="14"/>
      <c r="V435" s="14"/>
      <c r="W435" s="14"/>
    </row>
    <row r="436">
      <c r="P436" s="14"/>
      <c r="Q436" s="14"/>
      <c r="T436" s="14"/>
      <c r="U436" s="14"/>
      <c r="V436" s="14"/>
      <c r="W436" s="14"/>
    </row>
    <row r="437">
      <c r="P437" s="14"/>
      <c r="Q437" s="14"/>
      <c r="T437" s="14"/>
      <c r="U437" s="14"/>
      <c r="V437" s="14"/>
      <c r="W437" s="14"/>
    </row>
    <row r="438">
      <c r="P438" s="14"/>
      <c r="Q438" s="14"/>
      <c r="T438" s="14"/>
      <c r="U438" s="14"/>
      <c r="V438" s="14"/>
      <c r="W438" s="14"/>
    </row>
    <row r="439">
      <c r="P439" s="14"/>
      <c r="Q439" s="14"/>
      <c r="T439" s="14"/>
      <c r="U439" s="14"/>
      <c r="V439" s="14"/>
      <c r="W439" s="14"/>
    </row>
    <row r="440">
      <c r="P440" s="14"/>
      <c r="Q440" s="14"/>
      <c r="T440" s="14"/>
      <c r="U440" s="14"/>
      <c r="V440" s="14"/>
      <c r="W440" s="14"/>
    </row>
    <row r="441">
      <c r="P441" s="14"/>
      <c r="Q441" s="14"/>
      <c r="T441" s="14"/>
      <c r="U441" s="14"/>
      <c r="V441" s="14"/>
      <c r="W441" s="14"/>
    </row>
    <row r="442">
      <c r="P442" s="14"/>
      <c r="Q442" s="14"/>
      <c r="T442" s="14"/>
      <c r="U442" s="14"/>
      <c r="V442" s="14"/>
      <c r="W442" s="14"/>
    </row>
    <row r="443">
      <c r="P443" s="14"/>
      <c r="Q443" s="14"/>
      <c r="T443" s="14"/>
      <c r="U443" s="14"/>
      <c r="V443" s="14"/>
      <c r="W443" s="14"/>
    </row>
    <row r="444">
      <c r="P444" s="14"/>
      <c r="Q444" s="14"/>
      <c r="T444" s="14"/>
      <c r="U444" s="14"/>
      <c r="V444" s="14"/>
      <c r="W444" s="14"/>
    </row>
    <row r="445">
      <c r="P445" s="14"/>
      <c r="Q445" s="14"/>
      <c r="T445" s="14"/>
      <c r="U445" s="14"/>
      <c r="V445" s="14"/>
      <c r="W445" s="14"/>
    </row>
    <row r="446">
      <c r="P446" s="14"/>
      <c r="Q446" s="14"/>
      <c r="T446" s="14"/>
      <c r="U446" s="14"/>
      <c r="V446" s="14"/>
      <c r="W446" s="14"/>
    </row>
    <row r="447">
      <c r="P447" s="14"/>
      <c r="Q447" s="14"/>
      <c r="T447" s="14"/>
      <c r="U447" s="14"/>
      <c r="V447" s="14"/>
      <c r="W447" s="14"/>
    </row>
    <row r="448">
      <c r="P448" s="14"/>
      <c r="Q448" s="14"/>
      <c r="T448" s="14"/>
      <c r="U448" s="14"/>
      <c r="V448" s="14"/>
      <c r="W448" s="14"/>
    </row>
    <row r="449">
      <c r="P449" s="14"/>
      <c r="Q449" s="14"/>
      <c r="T449" s="14"/>
      <c r="U449" s="14"/>
      <c r="V449" s="14"/>
      <c r="W449" s="14"/>
    </row>
    <row r="450">
      <c r="P450" s="14"/>
      <c r="Q450" s="14"/>
      <c r="T450" s="14"/>
      <c r="U450" s="14"/>
      <c r="V450" s="14"/>
      <c r="W450" s="14"/>
    </row>
    <row r="451">
      <c r="P451" s="14"/>
      <c r="Q451" s="14"/>
      <c r="T451" s="14"/>
      <c r="U451" s="14"/>
      <c r="V451" s="14"/>
      <c r="W451" s="14"/>
    </row>
    <row r="452">
      <c r="P452" s="14"/>
      <c r="Q452" s="14"/>
      <c r="T452" s="14"/>
      <c r="U452" s="14"/>
      <c r="V452" s="14"/>
      <c r="W452" s="14"/>
    </row>
    <row r="453">
      <c r="P453" s="14"/>
      <c r="Q453" s="14"/>
      <c r="T453" s="14"/>
      <c r="U453" s="14"/>
      <c r="V453" s="14"/>
      <c r="W453" s="14"/>
    </row>
    <row r="454">
      <c r="P454" s="14"/>
      <c r="Q454" s="14"/>
      <c r="T454" s="14"/>
      <c r="U454" s="14"/>
      <c r="V454" s="14"/>
      <c r="W454" s="14"/>
    </row>
    <row r="455">
      <c r="P455" s="14"/>
      <c r="Q455" s="14"/>
      <c r="T455" s="14"/>
      <c r="U455" s="14"/>
      <c r="V455" s="14"/>
      <c r="W455" s="14"/>
    </row>
    <row r="456">
      <c r="P456" s="14"/>
      <c r="Q456" s="14"/>
      <c r="T456" s="14"/>
      <c r="U456" s="14"/>
      <c r="V456" s="14"/>
      <c r="W456" s="14"/>
    </row>
    <row r="457">
      <c r="P457" s="14"/>
      <c r="Q457" s="14"/>
      <c r="T457" s="14"/>
      <c r="U457" s="14"/>
      <c r="V457" s="14"/>
      <c r="W457" s="14"/>
    </row>
    <row r="458">
      <c r="P458" s="14"/>
      <c r="Q458" s="14"/>
      <c r="T458" s="14"/>
      <c r="U458" s="14"/>
      <c r="V458" s="14"/>
      <c r="W458" s="14"/>
    </row>
    <row r="459">
      <c r="P459" s="14"/>
      <c r="Q459" s="14"/>
      <c r="T459" s="14"/>
      <c r="U459" s="14"/>
      <c r="V459" s="14"/>
      <c r="W459" s="14"/>
    </row>
    <row r="460">
      <c r="P460" s="14"/>
      <c r="Q460" s="14"/>
      <c r="T460" s="14"/>
      <c r="U460" s="14"/>
      <c r="V460" s="14"/>
      <c r="W460" s="14"/>
    </row>
    <row r="461">
      <c r="P461" s="14"/>
      <c r="Q461" s="14"/>
      <c r="T461" s="14"/>
      <c r="U461" s="14"/>
      <c r="V461" s="14"/>
      <c r="W461" s="14"/>
    </row>
    <row r="462">
      <c r="P462" s="14"/>
      <c r="Q462" s="14"/>
      <c r="T462" s="14"/>
      <c r="U462" s="14"/>
      <c r="V462" s="14"/>
      <c r="W462" s="14"/>
    </row>
    <row r="463">
      <c r="P463" s="14"/>
      <c r="Q463" s="14"/>
      <c r="T463" s="14"/>
      <c r="U463" s="14"/>
      <c r="V463" s="14"/>
      <c r="W463" s="14"/>
    </row>
    <row r="464">
      <c r="P464" s="14"/>
      <c r="Q464" s="14"/>
      <c r="T464" s="14"/>
      <c r="U464" s="14"/>
      <c r="V464" s="14"/>
      <c r="W464" s="14"/>
    </row>
    <row r="465">
      <c r="P465" s="14"/>
      <c r="Q465" s="14"/>
      <c r="T465" s="14"/>
      <c r="U465" s="14"/>
      <c r="V465" s="14"/>
      <c r="W465" s="14"/>
    </row>
    <row r="466">
      <c r="P466" s="14"/>
      <c r="Q466" s="14"/>
      <c r="T466" s="14"/>
      <c r="U466" s="14"/>
      <c r="V466" s="14"/>
      <c r="W466" s="14"/>
    </row>
    <row r="467">
      <c r="P467" s="14"/>
      <c r="Q467" s="14"/>
      <c r="T467" s="14"/>
      <c r="U467" s="14"/>
      <c r="V467" s="14"/>
      <c r="W467" s="14"/>
    </row>
    <row r="468">
      <c r="P468" s="14"/>
      <c r="Q468" s="14"/>
      <c r="T468" s="14"/>
      <c r="U468" s="14"/>
      <c r="V468" s="14"/>
      <c r="W468" s="14"/>
    </row>
    <row r="469">
      <c r="P469" s="14"/>
      <c r="Q469" s="14"/>
      <c r="T469" s="14"/>
      <c r="U469" s="14"/>
      <c r="V469" s="14"/>
      <c r="W469" s="14"/>
    </row>
    <row r="470">
      <c r="P470" s="14"/>
      <c r="Q470" s="14"/>
      <c r="T470" s="14"/>
      <c r="U470" s="14"/>
      <c r="V470" s="14"/>
      <c r="W470" s="14"/>
    </row>
    <row r="471">
      <c r="P471" s="14"/>
      <c r="Q471" s="14"/>
      <c r="T471" s="14"/>
      <c r="U471" s="14"/>
      <c r="V471" s="14"/>
      <c r="W471" s="14"/>
    </row>
    <row r="472">
      <c r="P472" s="14"/>
      <c r="Q472" s="14"/>
      <c r="T472" s="14"/>
      <c r="U472" s="14"/>
      <c r="V472" s="14"/>
      <c r="W472" s="14"/>
    </row>
    <row r="473">
      <c r="P473" s="14"/>
      <c r="Q473" s="14"/>
      <c r="T473" s="14"/>
      <c r="U473" s="14"/>
      <c r="V473" s="14"/>
      <c r="W473" s="14"/>
    </row>
    <row r="474">
      <c r="P474" s="14"/>
      <c r="Q474" s="14"/>
      <c r="T474" s="14"/>
      <c r="U474" s="14"/>
      <c r="V474" s="14"/>
      <c r="W474" s="14"/>
    </row>
    <row r="475">
      <c r="P475" s="14"/>
      <c r="Q475" s="14"/>
      <c r="T475" s="14"/>
      <c r="U475" s="14"/>
      <c r="V475" s="14"/>
      <c r="W475" s="14"/>
    </row>
    <row r="476">
      <c r="P476" s="14"/>
      <c r="Q476" s="14"/>
      <c r="T476" s="14"/>
      <c r="U476" s="14"/>
      <c r="V476" s="14"/>
      <c r="W476" s="14"/>
    </row>
    <row r="477">
      <c r="P477" s="14"/>
      <c r="Q477" s="14"/>
      <c r="T477" s="14"/>
      <c r="U477" s="14"/>
      <c r="V477" s="14"/>
      <c r="W477" s="14"/>
    </row>
    <row r="478">
      <c r="P478" s="14"/>
      <c r="Q478" s="14"/>
      <c r="T478" s="14"/>
      <c r="U478" s="14"/>
      <c r="V478" s="14"/>
      <c r="W478" s="14"/>
    </row>
    <row r="479">
      <c r="P479" s="14"/>
      <c r="Q479" s="14"/>
      <c r="T479" s="14"/>
      <c r="U479" s="14"/>
      <c r="V479" s="14"/>
      <c r="W479" s="14"/>
    </row>
    <row r="480">
      <c r="P480" s="14"/>
      <c r="Q480" s="14"/>
      <c r="T480" s="14"/>
      <c r="U480" s="14"/>
      <c r="V480" s="14"/>
      <c r="W480" s="14"/>
    </row>
    <row r="481">
      <c r="P481" s="14"/>
      <c r="Q481" s="14"/>
      <c r="T481" s="14"/>
      <c r="U481" s="14"/>
      <c r="V481" s="14"/>
      <c r="W481" s="14"/>
    </row>
    <row r="482">
      <c r="P482" s="14"/>
      <c r="Q482" s="14"/>
      <c r="T482" s="14"/>
      <c r="U482" s="14"/>
      <c r="V482" s="14"/>
      <c r="W482" s="14"/>
    </row>
    <row r="483">
      <c r="P483" s="14"/>
      <c r="Q483" s="14"/>
      <c r="T483" s="14"/>
      <c r="U483" s="14"/>
      <c r="V483" s="14"/>
      <c r="W483" s="14"/>
    </row>
    <row r="484">
      <c r="P484" s="14"/>
      <c r="Q484" s="14"/>
      <c r="T484" s="14"/>
      <c r="U484" s="14"/>
      <c r="V484" s="14"/>
      <c r="W484" s="14"/>
    </row>
    <row r="485">
      <c r="P485" s="14"/>
      <c r="Q485" s="14"/>
      <c r="T485" s="14"/>
      <c r="U485" s="14"/>
      <c r="V485" s="14"/>
      <c r="W485" s="14"/>
    </row>
    <row r="486">
      <c r="P486" s="14"/>
      <c r="Q486" s="14"/>
      <c r="T486" s="14"/>
      <c r="U486" s="14"/>
      <c r="V486" s="14"/>
      <c r="W486" s="14"/>
    </row>
    <row r="487">
      <c r="P487" s="14"/>
      <c r="Q487" s="14"/>
      <c r="T487" s="14"/>
      <c r="U487" s="14"/>
      <c r="V487" s="14"/>
      <c r="W487" s="14"/>
    </row>
    <row r="488">
      <c r="P488" s="14"/>
      <c r="Q488" s="14"/>
      <c r="T488" s="14"/>
      <c r="U488" s="14"/>
      <c r="V488" s="14"/>
      <c r="W488" s="14"/>
    </row>
    <row r="489">
      <c r="P489" s="14"/>
      <c r="Q489" s="14"/>
      <c r="T489" s="14"/>
      <c r="U489" s="14"/>
      <c r="V489" s="14"/>
      <c r="W489" s="14"/>
    </row>
    <row r="490">
      <c r="P490" s="14"/>
      <c r="Q490" s="14"/>
      <c r="T490" s="14"/>
      <c r="U490" s="14"/>
      <c r="V490" s="14"/>
      <c r="W490" s="14"/>
    </row>
    <row r="491">
      <c r="P491" s="14"/>
      <c r="Q491" s="14"/>
      <c r="T491" s="14"/>
      <c r="U491" s="14"/>
      <c r="V491" s="14"/>
      <c r="W491" s="14"/>
    </row>
    <row r="492">
      <c r="P492" s="14"/>
      <c r="Q492" s="14"/>
      <c r="T492" s="14"/>
      <c r="U492" s="14"/>
      <c r="V492" s="14"/>
      <c r="W492" s="14"/>
    </row>
    <row r="493">
      <c r="P493" s="14"/>
      <c r="Q493" s="14"/>
      <c r="T493" s="14"/>
      <c r="U493" s="14"/>
      <c r="V493" s="14"/>
      <c r="W493" s="14"/>
    </row>
    <row r="494">
      <c r="P494" s="14"/>
      <c r="Q494" s="14"/>
      <c r="T494" s="14"/>
      <c r="U494" s="14"/>
      <c r="V494" s="14"/>
      <c r="W494" s="14"/>
    </row>
    <row r="495">
      <c r="P495" s="14"/>
      <c r="Q495" s="14"/>
      <c r="T495" s="14"/>
      <c r="U495" s="14"/>
      <c r="V495" s="14"/>
      <c r="W495" s="14"/>
    </row>
    <row r="496">
      <c r="P496" s="14"/>
      <c r="Q496" s="14"/>
      <c r="T496" s="14"/>
      <c r="U496" s="14"/>
      <c r="V496" s="14"/>
      <c r="W496" s="14"/>
    </row>
    <row r="497">
      <c r="P497" s="14"/>
      <c r="Q497" s="14"/>
      <c r="T497" s="14"/>
      <c r="U497" s="14"/>
      <c r="V497" s="14"/>
      <c r="W497" s="14"/>
    </row>
    <row r="498">
      <c r="P498" s="14"/>
      <c r="Q498" s="14"/>
      <c r="T498" s="14"/>
      <c r="U498" s="14"/>
      <c r="V498" s="14"/>
      <c r="W498" s="14"/>
    </row>
    <row r="499">
      <c r="P499" s="14"/>
      <c r="Q499" s="14"/>
      <c r="T499" s="14"/>
      <c r="U499" s="14"/>
      <c r="V499" s="14"/>
      <c r="W499" s="14"/>
    </row>
    <row r="500">
      <c r="P500" s="14"/>
      <c r="Q500" s="14"/>
      <c r="T500" s="14"/>
      <c r="U500" s="14"/>
      <c r="V500" s="14"/>
      <c r="W500" s="14"/>
    </row>
    <row r="501">
      <c r="P501" s="14"/>
      <c r="Q501" s="14"/>
      <c r="T501" s="14"/>
      <c r="U501" s="14"/>
      <c r="V501" s="14"/>
      <c r="W501" s="14"/>
    </row>
    <row r="502">
      <c r="P502" s="14"/>
      <c r="Q502" s="14"/>
      <c r="T502" s="14"/>
      <c r="U502" s="14"/>
      <c r="V502" s="14"/>
      <c r="W502" s="14"/>
    </row>
    <row r="503">
      <c r="P503" s="14"/>
      <c r="Q503" s="14"/>
      <c r="T503" s="14"/>
      <c r="U503" s="14"/>
      <c r="V503" s="14"/>
      <c r="W503" s="14"/>
    </row>
    <row r="504">
      <c r="P504" s="14"/>
      <c r="Q504" s="14"/>
      <c r="T504" s="14"/>
      <c r="U504" s="14"/>
      <c r="V504" s="14"/>
      <c r="W504" s="14"/>
    </row>
    <row r="505">
      <c r="P505" s="14"/>
      <c r="Q505" s="14"/>
      <c r="T505" s="14"/>
      <c r="U505" s="14"/>
      <c r="V505" s="14"/>
      <c r="W505" s="14"/>
    </row>
    <row r="506">
      <c r="P506" s="14"/>
      <c r="Q506" s="14"/>
      <c r="T506" s="14"/>
      <c r="U506" s="14"/>
      <c r="V506" s="14"/>
      <c r="W506" s="14"/>
    </row>
    <row r="507">
      <c r="P507" s="14"/>
      <c r="Q507" s="14"/>
      <c r="T507" s="14"/>
      <c r="U507" s="14"/>
      <c r="V507" s="14"/>
      <c r="W507" s="14"/>
    </row>
    <row r="508">
      <c r="P508" s="14"/>
      <c r="Q508" s="14"/>
      <c r="T508" s="14"/>
      <c r="U508" s="14"/>
      <c r="V508" s="14"/>
      <c r="W508" s="14"/>
    </row>
    <row r="509">
      <c r="P509" s="14"/>
      <c r="Q509" s="14"/>
      <c r="T509" s="14"/>
      <c r="U509" s="14"/>
      <c r="V509" s="14"/>
      <c r="W509" s="14"/>
    </row>
    <row r="510">
      <c r="P510" s="14"/>
      <c r="Q510" s="14"/>
      <c r="T510" s="14"/>
      <c r="U510" s="14"/>
      <c r="V510" s="14"/>
      <c r="W510" s="14"/>
    </row>
    <row r="511">
      <c r="P511" s="14"/>
      <c r="Q511" s="14"/>
      <c r="T511" s="14"/>
      <c r="U511" s="14"/>
      <c r="V511" s="14"/>
      <c r="W511" s="14"/>
    </row>
    <row r="512">
      <c r="P512" s="14"/>
      <c r="Q512" s="14"/>
      <c r="T512" s="14"/>
      <c r="U512" s="14"/>
      <c r="V512" s="14"/>
      <c r="W512" s="14"/>
    </row>
    <row r="513">
      <c r="P513" s="14"/>
      <c r="Q513" s="14"/>
      <c r="T513" s="14"/>
      <c r="U513" s="14"/>
      <c r="V513" s="14"/>
      <c r="W513" s="14"/>
    </row>
    <row r="514">
      <c r="P514" s="14"/>
      <c r="Q514" s="14"/>
      <c r="T514" s="14"/>
      <c r="U514" s="14"/>
      <c r="V514" s="14"/>
      <c r="W514" s="14"/>
    </row>
    <row r="515">
      <c r="P515" s="14"/>
      <c r="Q515" s="14"/>
      <c r="T515" s="14"/>
      <c r="U515" s="14"/>
      <c r="V515" s="14"/>
      <c r="W515" s="14"/>
    </row>
    <row r="516">
      <c r="P516" s="14"/>
      <c r="Q516" s="14"/>
      <c r="T516" s="14"/>
      <c r="U516" s="14"/>
      <c r="V516" s="14"/>
      <c r="W516" s="14"/>
    </row>
    <row r="517">
      <c r="P517" s="14"/>
      <c r="Q517" s="14"/>
      <c r="T517" s="14"/>
      <c r="U517" s="14"/>
      <c r="V517" s="14"/>
      <c r="W517" s="14"/>
    </row>
    <row r="518">
      <c r="P518" s="14"/>
      <c r="Q518" s="14"/>
      <c r="T518" s="14"/>
      <c r="U518" s="14"/>
      <c r="V518" s="14"/>
      <c r="W518" s="14"/>
    </row>
    <row r="519">
      <c r="P519" s="14"/>
      <c r="Q519" s="14"/>
      <c r="T519" s="14"/>
      <c r="U519" s="14"/>
      <c r="V519" s="14"/>
      <c r="W519" s="14"/>
    </row>
    <row r="520">
      <c r="P520" s="14"/>
      <c r="Q520" s="14"/>
      <c r="T520" s="14"/>
      <c r="U520" s="14"/>
      <c r="V520" s="14"/>
      <c r="W520" s="14"/>
    </row>
    <row r="521">
      <c r="P521" s="14"/>
      <c r="Q521" s="14"/>
      <c r="T521" s="14"/>
      <c r="U521" s="14"/>
      <c r="V521" s="14"/>
      <c r="W521" s="14"/>
    </row>
    <row r="522">
      <c r="P522" s="14"/>
      <c r="Q522" s="14"/>
      <c r="T522" s="14"/>
      <c r="U522" s="14"/>
      <c r="V522" s="14"/>
      <c r="W522" s="14"/>
    </row>
    <row r="523">
      <c r="P523" s="14"/>
      <c r="Q523" s="14"/>
      <c r="T523" s="14"/>
      <c r="U523" s="14"/>
      <c r="V523" s="14"/>
      <c r="W523" s="14"/>
    </row>
    <row r="524">
      <c r="P524" s="14"/>
      <c r="Q524" s="14"/>
      <c r="T524" s="14"/>
      <c r="U524" s="14"/>
      <c r="V524" s="14"/>
      <c r="W524" s="14"/>
    </row>
    <row r="525">
      <c r="P525" s="14"/>
      <c r="Q525" s="14"/>
      <c r="T525" s="14"/>
      <c r="U525" s="14"/>
      <c r="V525" s="14"/>
      <c r="W525" s="14"/>
    </row>
    <row r="526">
      <c r="P526" s="14"/>
      <c r="Q526" s="14"/>
      <c r="T526" s="14"/>
      <c r="U526" s="14"/>
      <c r="V526" s="14"/>
      <c r="W526" s="14"/>
    </row>
    <row r="527">
      <c r="P527" s="14"/>
      <c r="Q527" s="14"/>
      <c r="T527" s="14"/>
      <c r="U527" s="14"/>
      <c r="V527" s="14"/>
      <c r="W527" s="14"/>
    </row>
    <row r="528">
      <c r="P528" s="14"/>
      <c r="Q528" s="14"/>
      <c r="T528" s="14"/>
      <c r="U528" s="14"/>
      <c r="V528" s="14"/>
      <c r="W528" s="14"/>
    </row>
    <row r="529">
      <c r="P529" s="14"/>
      <c r="Q529" s="14"/>
      <c r="T529" s="14"/>
      <c r="U529" s="14"/>
      <c r="V529" s="14"/>
      <c r="W529" s="14"/>
    </row>
    <row r="530">
      <c r="P530" s="14"/>
      <c r="Q530" s="14"/>
      <c r="T530" s="14"/>
      <c r="U530" s="14"/>
      <c r="V530" s="14"/>
      <c r="W530" s="14"/>
    </row>
    <row r="531">
      <c r="P531" s="14"/>
      <c r="Q531" s="14"/>
      <c r="T531" s="14"/>
      <c r="U531" s="14"/>
      <c r="V531" s="14"/>
      <c r="W531" s="14"/>
    </row>
    <row r="532">
      <c r="P532" s="14"/>
      <c r="Q532" s="14"/>
      <c r="T532" s="14"/>
      <c r="U532" s="14"/>
      <c r="V532" s="14"/>
      <c r="W532" s="14"/>
    </row>
    <row r="533">
      <c r="P533" s="14"/>
      <c r="Q533" s="14"/>
      <c r="T533" s="14"/>
      <c r="U533" s="14"/>
      <c r="V533" s="14"/>
      <c r="W533" s="14"/>
    </row>
    <row r="534">
      <c r="P534" s="14"/>
      <c r="Q534" s="14"/>
      <c r="T534" s="14"/>
      <c r="U534" s="14"/>
      <c r="V534" s="14"/>
      <c r="W534" s="14"/>
    </row>
    <row r="535">
      <c r="P535" s="14"/>
      <c r="Q535" s="14"/>
      <c r="T535" s="14"/>
      <c r="U535" s="14"/>
      <c r="V535" s="14"/>
      <c r="W535" s="14"/>
    </row>
    <row r="536">
      <c r="P536" s="14"/>
      <c r="Q536" s="14"/>
      <c r="T536" s="14"/>
      <c r="U536" s="14"/>
      <c r="V536" s="14"/>
      <c r="W536" s="14"/>
    </row>
    <row r="537">
      <c r="P537" s="14"/>
      <c r="Q537" s="14"/>
      <c r="T537" s="14"/>
      <c r="U537" s="14"/>
      <c r="V537" s="14"/>
      <c r="W537" s="14"/>
    </row>
    <row r="538">
      <c r="P538" s="14"/>
      <c r="Q538" s="14"/>
      <c r="T538" s="14"/>
      <c r="U538" s="14"/>
      <c r="V538" s="14"/>
      <c r="W538" s="14"/>
    </row>
    <row r="539">
      <c r="P539" s="14"/>
      <c r="Q539" s="14"/>
      <c r="T539" s="14"/>
      <c r="U539" s="14"/>
      <c r="V539" s="14"/>
      <c r="W539" s="14"/>
    </row>
    <row r="540">
      <c r="P540" s="14"/>
      <c r="Q540" s="14"/>
      <c r="T540" s="14"/>
      <c r="U540" s="14"/>
      <c r="V540" s="14"/>
      <c r="W540" s="14"/>
    </row>
    <row r="541">
      <c r="P541" s="14"/>
      <c r="Q541" s="14"/>
      <c r="T541" s="14"/>
      <c r="U541" s="14"/>
      <c r="V541" s="14"/>
      <c r="W541" s="14"/>
    </row>
    <row r="542">
      <c r="P542" s="14"/>
      <c r="Q542" s="14"/>
      <c r="T542" s="14"/>
      <c r="U542" s="14"/>
      <c r="V542" s="14"/>
      <c r="W542" s="14"/>
    </row>
    <row r="543">
      <c r="P543" s="14"/>
      <c r="Q543" s="14"/>
      <c r="T543" s="14"/>
      <c r="U543" s="14"/>
      <c r="V543" s="14"/>
      <c r="W543" s="14"/>
    </row>
    <row r="544">
      <c r="P544" s="14"/>
      <c r="Q544" s="14"/>
      <c r="T544" s="14"/>
      <c r="U544" s="14"/>
      <c r="V544" s="14"/>
      <c r="W544" s="14"/>
    </row>
    <row r="545">
      <c r="P545" s="14"/>
      <c r="Q545" s="14"/>
      <c r="T545" s="14"/>
      <c r="U545" s="14"/>
      <c r="V545" s="14"/>
      <c r="W545" s="14"/>
    </row>
    <row r="546">
      <c r="P546" s="14"/>
      <c r="Q546" s="14"/>
      <c r="T546" s="14"/>
      <c r="U546" s="14"/>
      <c r="V546" s="14"/>
      <c r="W546" s="14"/>
    </row>
    <row r="547">
      <c r="P547" s="14"/>
      <c r="Q547" s="14"/>
      <c r="T547" s="14"/>
      <c r="U547" s="14"/>
      <c r="V547" s="14"/>
      <c r="W547" s="14"/>
    </row>
    <row r="548">
      <c r="P548" s="14"/>
      <c r="Q548" s="14"/>
      <c r="T548" s="14"/>
      <c r="U548" s="14"/>
      <c r="V548" s="14"/>
      <c r="W548" s="14"/>
    </row>
    <row r="549">
      <c r="P549" s="14"/>
      <c r="Q549" s="14"/>
      <c r="T549" s="14"/>
      <c r="U549" s="14"/>
      <c r="V549" s="14"/>
      <c r="W549" s="14"/>
    </row>
    <row r="550">
      <c r="P550" s="14"/>
      <c r="Q550" s="14"/>
      <c r="T550" s="14"/>
      <c r="U550" s="14"/>
      <c r="V550" s="14"/>
      <c r="W550" s="14"/>
    </row>
    <row r="551">
      <c r="P551" s="14"/>
      <c r="Q551" s="14"/>
      <c r="T551" s="14"/>
      <c r="U551" s="14"/>
      <c r="V551" s="14"/>
      <c r="W551" s="14"/>
    </row>
    <row r="552">
      <c r="P552" s="14"/>
      <c r="Q552" s="14"/>
      <c r="T552" s="14"/>
      <c r="U552" s="14"/>
      <c r="V552" s="14"/>
      <c r="W552" s="14"/>
    </row>
    <row r="553">
      <c r="P553" s="14"/>
      <c r="Q553" s="14"/>
      <c r="T553" s="14"/>
      <c r="U553" s="14"/>
      <c r="V553" s="14"/>
      <c r="W553" s="14"/>
    </row>
    <row r="554">
      <c r="P554" s="14"/>
      <c r="Q554" s="14"/>
      <c r="T554" s="14"/>
      <c r="U554" s="14"/>
      <c r="V554" s="14"/>
      <c r="W554" s="14"/>
    </row>
    <row r="555">
      <c r="P555" s="14"/>
      <c r="Q555" s="14"/>
      <c r="T555" s="14"/>
      <c r="U555" s="14"/>
      <c r="V555" s="14"/>
      <c r="W555" s="14"/>
    </row>
    <row r="556">
      <c r="P556" s="14"/>
      <c r="Q556" s="14"/>
      <c r="T556" s="14"/>
      <c r="U556" s="14"/>
      <c r="V556" s="14"/>
      <c r="W556" s="14"/>
    </row>
    <row r="557">
      <c r="P557" s="14"/>
      <c r="Q557" s="14"/>
      <c r="T557" s="14"/>
      <c r="U557" s="14"/>
      <c r="V557" s="14"/>
      <c r="W557" s="14"/>
    </row>
    <row r="558">
      <c r="P558" s="14"/>
      <c r="Q558" s="14"/>
      <c r="T558" s="14"/>
      <c r="U558" s="14"/>
      <c r="V558" s="14"/>
      <c r="W558" s="14"/>
    </row>
    <row r="559">
      <c r="P559" s="14"/>
      <c r="Q559" s="14"/>
      <c r="T559" s="14"/>
      <c r="U559" s="14"/>
      <c r="V559" s="14"/>
      <c r="W559" s="14"/>
    </row>
    <row r="560">
      <c r="P560" s="14"/>
      <c r="Q560" s="14"/>
      <c r="T560" s="14"/>
      <c r="U560" s="14"/>
      <c r="V560" s="14"/>
      <c r="W560" s="14"/>
    </row>
    <row r="561">
      <c r="P561" s="14"/>
      <c r="Q561" s="14"/>
      <c r="T561" s="14"/>
      <c r="U561" s="14"/>
      <c r="V561" s="14"/>
      <c r="W561" s="14"/>
    </row>
    <row r="562">
      <c r="P562" s="14"/>
      <c r="Q562" s="14"/>
      <c r="T562" s="14"/>
      <c r="U562" s="14"/>
      <c r="V562" s="14"/>
      <c r="W562" s="14"/>
    </row>
    <row r="563">
      <c r="P563" s="14"/>
      <c r="Q563" s="14"/>
      <c r="T563" s="14"/>
      <c r="U563" s="14"/>
      <c r="V563" s="14"/>
      <c r="W563" s="14"/>
    </row>
    <row r="564">
      <c r="P564" s="14"/>
      <c r="Q564" s="14"/>
      <c r="T564" s="14"/>
      <c r="U564" s="14"/>
      <c r="V564" s="14"/>
      <c r="W564" s="14"/>
    </row>
    <row r="565">
      <c r="P565" s="14"/>
      <c r="Q565" s="14"/>
      <c r="T565" s="14"/>
      <c r="U565" s="14"/>
      <c r="V565" s="14"/>
      <c r="W565" s="14"/>
    </row>
    <row r="566">
      <c r="P566" s="14"/>
      <c r="Q566" s="14"/>
      <c r="T566" s="14"/>
      <c r="U566" s="14"/>
      <c r="V566" s="14"/>
      <c r="W566" s="14"/>
    </row>
    <row r="567">
      <c r="P567" s="14"/>
      <c r="Q567" s="14"/>
      <c r="T567" s="14"/>
      <c r="U567" s="14"/>
      <c r="V567" s="14"/>
      <c r="W567" s="14"/>
    </row>
    <row r="568">
      <c r="P568" s="14"/>
      <c r="Q568" s="14"/>
      <c r="T568" s="14"/>
      <c r="U568" s="14"/>
      <c r="V568" s="14"/>
      <c r="W568" s="14"/>
    </row>
    <row r="569">
      <c r="P569" s="14"/>
      <c r="Q569" s="14"/>
      <c r="T569" s="14"/>
      <c r="U569" s="14"/>
      <c r="V569" s="14"/>
      <c r="W569" s="14"/>
    </row>
    <row r="570">
      <c r="P570" s="14"/>
      <c r="Q570" s="14"/>
      <c r="T570" s="14"/>
      <c r="U570" s="14"/>
      <c r="V570" s="14"/>
      <c r="W570" s="14"/>
    </row>
    <row r="571">
      <c r="P571" s="14"/>
      <c r="Q571" s="14"/>
      <c r="T571" s="14"/>
      <c r="U571" s="14"/>
      <c r="V571" s="14"/>
      <c r="W571" s="14"/>
    </row>
    <row r="572">
      <c r="P572" s="14"/>
      <c r="Q572" s="14"/>
      <c r="T572" s="14"/>
      <c r="U572" s="14"/>
      <c r="V572" s="14"/>
      <c r="W572" s="14"/>
    </row>
    <row r="573">
      <c r="P573" s="14"/>
      <c r="Q573" s="14"/>
      <c r="T573" s="14"/>
      <c r="U573" s="14"/>
      <c r="V573" s="14"/>
      <c r="W573" s="14"/>
    </row>
    <row r="574">
      <c r="P574" s="14"/>
      <c r="Q574" s="14"/>
      <c r="T574" s="14"/>
      <c r="U574" s="14"/>
      <c r="V574" s="14"/>
      <c r="W574" s="14"/>
    </row>
    <row r="575">
      <c r="P575" s="14"/>
      <c r="Q575" s="14"/>
      <c r="T575" s="14"/>
      <c r="U575" s="14"/>
      <c r="V575" s="14"/>
      <c r="W575" s="14"/>
    </row>
    <row r="576">
      <c r="P576" s="14"/>
      <c r="Q576" s="14"/>
      <c r="T576" s="14"/>
      <c r="U576" s="14"/>
      <c r="V576" s="14"/>
      <c r="W576" s="14"/>
    </row>
    <row r="577">
      <c r="P577" s="14"/>
      <c r="Q577" s="14"/>
      <c r="T577" s="14"/>
      <c r="U577" s="14"/>
      <c r="V577" s="14"/>
      <c r="W577" s="14"/>
    </row>
    <row r="578">
      <c r="P578" s="14"/>
      <c r="Q578" s="14"/>
      <c r="T578" s="14"/>
      <c r="U578" s="14"/>
      <c r="V578" s="14"/>
      <c r="W578" s="14"/>
    </row>
    <row r="579">
      <c r="P579" s="14"/>
      <c r="Q579" s="14"/>
      <c r="T579" s="14"/>
      <c r="U579" s="14"/>
      <c r="V579" s="14"/>
      <c r="W579" s="14"/>
    </row>
    <row r="580">
      <c r="P580" s="14"/>
      <c r="Q580" s="14"/>
      <c r="T580" s="14"/>
      <c r="U580" s="14"/>
      <c r="V580" s="14"/>
      <c r="W580" s="14"/>
    </row>
    <row r="581">
      <c r="P581" s="14"/>
      <c r="Q581" s="14"/>
      <c r="T581" s="14"/>
      <c r="U581" s="14"/>
      <c r="V581" s="14"/>
      <c r="W581" s="14"/>
    </row>
    <row r="582">
      <c r="P582" s="14"/>
      <c r="Q582" s="14"/>
      <c r="T582" s="14"/>
      <c r="U582" s="14"/>
      <c r="V582" s="14"/>
      <c r="W582" s="14"/>
    </row>
    <row r="583">
      <c r="P583" s="14"/>
      <c r="Q583" s="14"/>
      <c r="T583" s="14"/>
      <c r="U583" s="14"/>
      <c r="V583" s="14"/>
      <c r="W583" s="14"/>
    </row>
    <row r="584">
      <c r="P584" s="14"/>
      <c r="Q584" s="14"/>
      <c r="T584" s="14"/>
      <c r="U584" s="14"/>
      <c r="V584" s="14"/>
      <c r="W584" s="14"/>
    </row>
    <row r="585">
      <c r="P585" s="14"/>
      <c r="Q585" s="14"/>
      <c r="T585" s="14"/>
      <c r="U585" s="14"/>
      <c r="V585" s="14"/>
      <c r="W585" s="14"/>
    </row>
    <row r="586">
      <c r="P586" s="14"/>
      <c r="Q586" s="14"/>
      <c r="T586" s="14"/>
      <c r="U586" s="14"/>
      <c r="V586" s="14"/>
      <c r="W586" s="14"/>
    </row>
    <row r="587">
      <c r="P587" s="14"/>
      <c r="Q587" s="14"/>
      <c r="T587" s="14"/>
      <c r="U587" s="14"/>
      <c r="V587" s="14"/>
      <c r="W587" s="14"/>
    </row>
    <row r="588">
      <c r="P588" s="14"/>
      <c r="Q588" s="14"/>
      <c r="T588" s="14"/>
      <c r="U588" s="14"/>
      <c r="V588" s="14"/>
      <c r="W588" s="14"/>
    </row>
    <row r="589">
      <c r="P589" s="14"/>
      <c r="Q589" s="14"/>
      <c r="T589" s="14"/>
      <c r="U589" s="14"/>
      <c r="V589" s="14"/>
      <c r="W589" s="14"/>
    </row>
    <row r="590">
      <c r="P590" s="14"/>
      <c r="Q590" s="14"/>
      <c r="T590" s="14"/>
      <c r="U590" s="14"/>
      <c r="V590" s="14"/>
      <c r="W590" s="14"/>
    </row>
    <row r="591">
      <c r="P591" s="14"/>
      <c r="Q591" s="14"/>
      <c r="T591" s="14"/>
      <c r="U591" s="14"/>
      <c r="V591" s="14"/>
      <c r="W591" s="14"/>
    </row>
    <row r="592">
      <c r="P592" s="14"/>
      <c r="Q592" s="14"/>
      <c r="T592" s="14"/>
      <c r="U592" s="14"/>
      <c r="V592" s="14"/>
      <c r="W592" s="14"/>
    </row>
    <row r="593">
      <c r="P593" s="14"/>
      <c r="Q593" s="14"/>
      <c r="T593" s="14"/>
      <c r="U593" s="14"/>
      <c r="V593" s="14"/>
      <c r="W593" s="14"/>
    </row>
    <row r="594">
      <c r="P594" s="14"/>
      <c r="Q594" s="14"/>
      <c r="T594" s="14"/>
      <c r="U594" s="14"/>
      <c r="V594" s="14"/>
      <c r="W594" s="14"/>
    </row>
    <row r="595">
      <c r="P595" s="14"/>
      <c r="Q595" s="14"/>
      <c r="T595" s="14"/>
      <c r="U595" s="14"/>
      <c r="V595" s="14"/>
      <c r="W595" s="14"/>
    </row>
    <row r="596">
      <c r="P596" s="14"/>
      <c r="Q596" s="14"/>
      <c r="T596" s="14"/>
      <c r="U596" s="14"/>
      <c r="V596" s="14"/>
      <c r="W596" s="14"/>
    </row>
    <row r="597">
      <c r="P597" s="14"/>
      <c r="Q597" s="14"/>
      <c r="T597" s="14"/>
      <c r="U597" s="14"/>
      <c r="V597" s="14"/>
      <c r="W597" s="14"/>
    </row>
    <row r="598">
      <c r="P598" s="14"/>
      <c r="Q598" s="14"/>
      <c r="T598" s="14"/>
      <c r="U598" s="14"/>
      <c r="V598" s="14"/>
      <c r="W598" s="14"/>
    </row>
    <row r="599">
      <c r="P599" s="14"/>
      <c r="Q599" s="14"/>
      <c r="T599" s="14"/>
      <c r="U599" s="14"/>
      <c r="V599" s="14"/>
      <c r="W599" s="14"/>
    </row>
    <row r="600">
      <c r="P600" s="14"/>
      <c r="Q600" s="14"/>
      <c r="T600" s="14"/>
      <c r="U600" s="14"/>
      <c r="V600" s="14"/>
      <c r="W600" s="14"/>
    </row>
    <row r="601">
      <c r="P601" s="14"/>
      <c r="Q601" s="14"/>
      <c r="T601" s="14"/>
      <c r="U601" s="14"/>
      <c r="V601" s="14"/>
      <c r="W601" s="14"/>
    </row>
    <row r="602">
      <c r="P602" s="14"/>
      <c r="Q602" s="14"/>
      <c r="T602" s="14"/>
      <c r="U602" s="14"/>
      <c r="V602" s="14"/>
      <c r="W602" s="14"/>
    </row>
    <row r="603">
      <c r="P603" s="14"/>
      <c r="Q603" s="14"/>
      <c r="T603" s="14"/>
      <c r="U603" s="14"/>
      <c r="V603" s="14"/>
      <c r="W603" s="14"/>
    </row>
    <row r="604">
      <c r="P604" s="14"/>
      <c r="Q604" s="14"/>
      <c r="T604" s="14"/>
      <c r="U604" s="14"/>
      <c r="V604" s="14"/>
      <c r="W604" s="14"/>
    </row>
    <row r="605">
      <c r="P605" s="14"/>
      <c r="Q605" s="14"/>
      <c r="T605" s="14"/>
      <c r="U605" s="14"/>
      <c r="V605" s="14"/>
      <c r="W605" s="14"/>
    </row>
    <row r="606">
      <c r="P606" s="14"/>
      <c r="Q606" s="14"/>
      <c r="T606" s="14"/>
      <c r="U606" s="14"/>
      <c r="V606" s="14"/>
      <c r="W606" s="14"/>
    </row>
    <row r="607">
      <c r="P607" s="14"/>
      <c r="Q607" s="14"/>
      <c r="T607" s="14"/>
      <c r="U607" s="14"/>
      <c r="V607" s="14"/>
      <c r="W607" s="14"/>
    </row>
    <row r="608">
      <c r="P608" s="14"/>
      <c r="Q608" s="14"/>
      <c r="T608" s="14"/>
      <c r="U608" s="14"/>
      <c r="V608" s="14"/>
      <c r="W608" s="14"/>
    </row>
    <row r="609">
      <c r="P609" s="14"/>
      <c r="Q609" s="14"/>
      <c r="T609" s="14"/>
      <c r="U609" s="14"/>
      <c r="V609" s="14"/>
      <c r="W609" s="14"/>
    </row>
    <row r="610">
      <c r="P610" s="14"/>
      <c r="Q610" s="14"/>
      <c r="T610" s="14"/>
      <c r="U610" s="14"/>
      <c r="V610" s="14"/>
      <c r="W610" s="14"/>
    </row>
    <row r="611">
      <c r="P611" s="14"/>
      <c r="Q611" s="14"/>
      <c r="T611" s="14"/>
      <c r="U611" s="14"/>
      <c r="V611" s="14"/>
      <c r="W611" s="14"/>
    </row>
    <row r="612">
      <c r="P612" s="14"/>
      <c r="Q612" s="14"/>
      <c r="T612" s="14"/>
      <c r="U612" s="14"/>
      <c r="V612" s="14"/>
      <c r="W612" s="14"/>
    </row>
    <row r="613">
      <c r="P613" s="14"/>
      <c r="Q613" s="14"/>
      <c r="T613" s="14"/>
      <c r="U613" s="14"/>
      <c r="V613" s="14"/>
      <c r="W613" s="14"/>
    </row>
    <row r="614">
      <c r="P614" s="14"/>
      <c r="Q614" s="14"/>
      <c r="T614" s="14"/>
      <c r="U614" s="14"/>
      <c r="V614" s="14"/>
      <c r="W614" s="14"/>
    </row>
    <row r="615">
      <c r="P615" s="14"/>
      <c r="Q615" s="14"/>
      <c r="T615" s="14"/>
      <c r="U615" s="14"/>
      <c r="V615" s="14"/>
      <c r="W615" s="14"/>
    </row>
    <row r="616">
      <c r="P616" s="14"/>
      <c r="Q616" s="14"/>
      <c r="T616" s="14"/>
      <c r="U616" s="14"/>
      <c r="V616" s="14"/>
      <c r="W616" s="14"/>
    </row>
    <row r="617">
      <c r="P617" s="14"/>
      <c r="Q617" s="14"/>
      <c r="T617" s="14"/>
      <c r="U617" s="14"/>
      <c r="V617" s="14"/>
      <c r="W617" s="14"/>
    </row>
    <row r="618">
      <c r="P618" s="14"/>
      <c r="Q618" s="14"/>
      <c r="T618" s="14"/>
      <c r="U618" s="14"/>
      <c r="V618" s="14"/>
      <c r="W618" s="14"/>
    </row>
    <row r="619">
      <c r="P619" s="14"/>
      <c r="Q619" s="14"/>
      <c r="T619" s="14"/>
      <c r="U619" s="14"/>
      <c r="V619" s="14"/>
      <c r="W619" s="14"/>
    </row>
    <row r="620">
      <c r="P620" s="14"/>
      <c r="Q620" s="14"/>
      <c r="T620" s="14"/>
      <c r="U620" s="14"/>
      <c r="V620" s="14"/>
      <c r="W620" s="14"/>
    </row>
    <row r="621">
      <c r="P621" s="14"/>
      <c r="Q621" s="14"/>
      <c r="T621" s="14"/>
      <c r="U621" s="14"/>
      <c r="V621" s="14"/>
      <c r="W621" s="14"/>
    </row>
    <row r="622">
      <c r="P622" s="14"/>
      <c r="Q622" s="14"/>
      <c r="T622" s="14"/>
      <c r="U622" s="14"/>
      <c r="V622" s="14"/>
      <c r="W622" s="14"/>
    </row>
    <row r="623">
      <c r="P623" s="14"/>
      <c r="Q623" s="14"/>
      <c r="T623" s="14"/>
      <c r="U623" s="14"/>
      <c r="V623" s="14"/>
      <c r="W623" s="14"/>
    </row>
    <row r="624">
      <c r="P624" s="14"/>
      <c r="Q624" s="14"/>
      <c r="T624" s="14"/>
      <c r="U624" s="14"/>
      <c r="V624" s="14"/>
      <c r="W624" s="14"/>
    </row>
    <row r="625">
      <c r="P625" s="14"/>
      <c r="Q625" s="14"/>
      <c r="T625" s="14"/>
      <c r="U625" s="14"/>
      <c r="V625" s="14"/>
      <c r="W625" s="14"/>
    </row>
    <row r="626">
      <c r="P626" s="14"/>
      <c r="Q626" s="14"/>
      <c r="T626" s="14"/>
      <c r="U626" s="14"/>
      <c r="V626" s="14"/>
      <c r="W626" s="14"/>
    </row>
    <row r="627">
      <c r="P627" s="14"/>
      <c r="Q627" s="14"/>
      <c r="T627" s="14"/>
      <c r="U627" s="14"/>
      <c r="V627" s="14"/>
      <c r="W627" s="14"/>
    </row>
    <row r="628">
      <c r="P628" s="14"/>
      <c r="Q628" s="14"/>
      <c r="T628" s="14"/>
      <c r="U628" s="14"/>
      <c r="V628" s="14"/>
      <c r="W628" s="14"/>
    </row>
    <row r="629">
      <c r="P629" s="14"/>
      <c r="Q629" s="14"/>
      <c r="T629" s="14"/>
      <c r="U629" s="14"/>
      <c r="V629" s="14"/>
      <c r="W629" s="14"/>
    </row>
    <row r="630">
      <c r="P630" s="14"/>
      <c r="Q630" s="14"/>
      <c r="T630" s="14"/>
      <c r="U630" s="14"/>
      <c r="V630" s="14"/>
      <c r="W630" s="14"/>
    </row>
    <row r="631">
      <c r="P631" s="14"/>
      <c r="Q631" s="14"/>
      <c r="T631" s="14"/>
      <c r="U631" s="14"/>
      <c r="V631" s="14"/>
      <c r="W631" s="14"/>
    </row>
    <row r="632">
      <c r="P632" s="14"/>
      <c r="Q632" s="14"/>
      <c r="T632" s="14"/>
      <c r="U632" s="14"/>
      <c r="V632" s="14"/>
      <c r="W632" s="14"/>
    </row>
    <row r="633">
      <c r="P633" s="14"/>
      <c r="Q633" s="14"/>
      <c r="T633" s="14"/>
      <c r="U633" s="14"/>
      <c r="V633" s="14"/>
      <c r="W633" s="14"/>
    </row>
    <row r="634">
      <c r="P634" s="14"/>
      <c r="Q634" s="14"/>
      <c r="T634" s="14"/>
      <c r="U634" s="14"/>
      <c r="V634" s="14"/>
      <c r="W634" s="14"/>
    </row>
    <row r="635">
      <c r="P635" s="14"/>
      <c r="Q635" s="14"/>
      <c r="T635" s="14"/>
      <c r="U635" s="14"/>
      <c r="V635" s="14"/>
      <c r="W635" s="14"/>
    </row>
    <row r="636">
      <c r="P636" s="14"/>
      <c r="Q636" s="14"/>
      <c r="T636" s="14"/>
      <c r="U636" s="14"/>
      <c r="V636" s="14"/>
      <c r="W636" s="14"/>
    </row>
    <row r="637">
      <c r="P637" s="14"/>
      <c r="Q637" s="14"/>
      <c r="T637" s="14"/>
      <c r="U637" s="14"/>
      <c r="V637" s="14"/>
      <c r="W637" s="14"/>
    </row>
    <row r="638">
      <c r="P638" s="14"/>
      <c r="Q638" s="14"/>
      <c r="T638" s="14"/>
      <c r="U638" s="14"/>
      <c r="V638" s="14"/>
      <c r="W638" s="14"/>
    </row>
    <row r="639">
      <c r="P639" s="14"/>
      <c r="Q639" s="14"/>
      <c r="T639" s="14"/>
      <c r="U639" s="14"/>
      <c r="V639" s="14"/>
      <c r="W639" s="14"/>
    </row>
    <row r="640">
      <c r="P640" s="14"/>
      <c r="Q640" s="14"/>
      <c r="T640" s="14"/>
      <c r="U640" s="14"/>
      <c r="V640" s="14"/>
      <c r="W640" s="14"/>
    </row>
    <row r="641">
      <c r="P641" s="14"/>
      <c r="Q641" s="14"/>
      <c r="T641" s="14"/>
      <c r="U641" s="14"/>
      <c r="V641" s="14"/>
      <c r="W641" s="14"/>
    </row>
    <row r="642">
      <c r="P642" s="14"/>
      <c r="Q642" s="14"/>
      <c r="T642" s="14"/>
      <c r="U642" s="14"/>
      <c r="V642" s="14"/>
      <c r="W642" s="14"/>
    </row>
    <row r="643">
      <c r="P643" s="14"/>
      <c r="Q643" s="14"/>
      <c r="T643" s="14"/>
      <c r="U643" s="14"/>
      <c r="V643" s="14"/>
      <c r="W643" s="14"/>
    </row>
    <row r="644">
      <c r="P644" s="14"/>
      <c r="Q644" s="14"/>
      <c r="T644" s="14"/>
      <c r="U644" s="14"/>
      <c r="V644" s="14"/>
      <c r="W644" s="14"/>
    </row>
    <row r="645">
      <c r="P645" s="14"/>
      <c r="Q645" s="14"/>
      <c r="T645" s="14"/>
      <c r="U645" s="14"/>
      <c r="V645" s="14"/>
      <c r="W645" s="14"/>
    </row>
    <row r="646">
      <c r="P646" s="14"/>
      <c r="Q646" s="14"/>
      <c r="T646" s="14"/>
      <c r="U646" s="14"/>
      <c r="V646" s="14"/>
      <c r="W646" s="14"/>
    </row>
    <row r="647">
      <c r="P647" s="14"/>
      <c r="Q647" s="14"/>
      <c r="T647" s="14"/>
      <c r="U647" s="14"/>
      <c r="V647" s="14"/>
      <c r="W647" s="14"/>
    </row>
    <row r="648">
      <c r="P648" s="14"/>
      <c r="Q648" s="14"/>
      <c r="T648" s="14"/>
      <c r="U648" s="14"/>
      <c r="V648" s="14"/>
      <c r="W648" s="14"/>
    </row>
    <row r="649">
      <c r="P649" s="14"/>
      <c r="Q649" s="14"/>
      <c r="T649" s="14"/>
      <c r="U649" s="14"/>
      <c r="V649" s="14"/>
      <c r="W649" s="14"/>
    </row>
    <row r="650">
      <c r="P650" s="14"/>
      <c r="Q650" s="14"/>
      <c r="T650" s="14"/>
      <c r="U650" s="14"/>
      <c r="V650" s="14"/>
      <c r="W650" s="14"/>
    </row>
    <row r="651">
      <c r="P651" s="14"/>
      <c r="Q651" s="14"/>
      <c r="T651" s="14"/>
      <c r="U651" s="14"/>
      <c r="V651" s="14"/>
      <c r="W651" s="14"/>
    </row>
    <row r="652">
      <c r="P652" s="14"/>
      <c r="Q652" s="14"/>
      <c r="T652" s="14"/>
      <c r="U652" s="14"/>
      <c r="V652" s="14"/>
      <c r="W652" s="14"/>
    </row>
    <row r="653">
      <c r="P653" s="14"/>
      <c r="Q653" s="14"/>
      <c r="T653" s="14"/>
      <c r="U653" s="14"/>
      <c r="V653" s="14"/>
      <c r="W653" s="14"/>
    </row>
    <row r="654">
      <c r="P654" s="14"/>
      <c r="Q654" s="14"/>
      <c r="T654" s="14"/>
      <c r="U654" s="14"/>
      <c r="V654" s="14"/>
      <c r="W654" s="14"/>
    </row>
    <row r="655">
      <c r="P655" s="14"/>
      <c r="Q655" s="14"/>
      <c r="T655" s="14"/>
      <c r="U655" s="14"/>
      <c r="V655" s="14"/>
      <c r="W655" s="14"/>
    </row>
    <row r="656">
      <c r="P656" s="14"/>
      <c r="Q656" s="14"/>
      <c r="T656" s="14"/>
      <c r="U656" s="14"/>
      <c r="V656" s="14"/>
      <c r="W656" s="14"/>
    </row>
    <row r="657">
      <c r="P657" s="14"/>
      <c r="Q657" s="14"/>
      <c r="T657" s="14"/>
      <c r="U657" s="14"/>
      <c r="V657" s="14"/>
      <c r="W657" s="14"/>
    </row>
    <row r="658">
      <c r="P658" s="14"/>
      <c r="Q658" s="14"/>
      <c r="T658" s="14"/>
      <c r="U658" s="14"/>
      <c r="V658" s="14"/>
      <c r="W658" s="14"/>
    </row>
    <row r="659">
      <c r="P659" s="14"/>
      <c r="Q659" s="14"/>
      <c r="T659" s="14"/>
      <c r="U659" s="14"/>
      <c r="V659" s="14"/>
      <c r="W659" s="14"/>
    </row>
    <row r="660">
      <c r="P660" s="14"/>
      <c r="Q660" s="14"/>
      <c r="T660" s="14"/>
      <c r="U660" s="14"/>
      <c r="V660" s="14"/>
      <c r="W660" s="14"/>
    </row>
    <row r="661">
      <c r="P661" s="14"/>
      <c r="Q661" s="14"/>
      <c r="T661" s="14"/>
      <c r="U661" s="14"/>
      <c r="V661" s="14"/>
      <c r="W661" s="14"/>
    </row>
    <row r="662">
      <c r="P662" s="14"/>
      <c r="Q662" s="14"/>
      <c r="T662" s="14"/>
      <c r="U662" s="14"/>
      <c r="V662" s="14"/>
      <c r="W662" s="14"/>
    </row>
    <row r="663">
      <c r="P663" s="14"/>
      <c r="Q663" s="14"/>
      <c r="T663" s="14"/>
      <c r="U663" s="14"/>
      <c r="V663" s="14"/>
      <c r="W663" s="14"/>
    </row>
    <row r="664">
      <c r="P664" s="14"/>
      <c r="Q664" s="14"/>
      <c r="T664" s="14"/>
      <c r="U664" s="14"/>
      <c r="V664" s="14"/>
      <c r="W664" s="14"/>
    </row>
    <row r="665">
      <c r="P665" s="14"/>
      <c r="Q665" s="14"/>
      <c r="T665" s="14"/>
      <c r="U665" s="14"/>
      <c r="V665" s="14"/>
      <c r="W665" s="14"/>
    </row>
    <row r="666">
      <c r="P666" s="14"/>
      <c r="Q666" s="14"/>
      <c r="T666" s="14"/>
      <c r="U666" s="14"/>
      <c r="V666" s="14"/>
      <c r="W666" s="14"/>
    </row>
    <row r="667">
      <c r="P667" s="14"/>
      <c r="Q667" s="14"/>
      <c r="T667" s="14"/>
      <c r="U667" s="14"/>
      <c r="V667" s="14"/>
      <c r="W667" s="14"/>
    </row>
    <row r="668">
      <c r="P668" s="14"/>
      <c r="Q668" s="14"/>
      <c r="T668" s="14"/>
      <c r="U668" s="14"/>
      <c r="V668" s="14"/>
      <c r="W668" s="14"/>
    </row>
    <row r="669">
      <c r="P669" s="14"/>
      <c r="Q669" s="14"/>
      <c r="T669" s="14"/>
      <c r="U669" s="14"/>
      <c r="V669" s="14"/>
      <c r="W669" s="14"/>
    </row>
    <row r="670">
      <c r="P670" s="14"/>
      <c r="Q670" s="14"/>
      <c r="T670" s="14"/>
      <c r="U670" s="14"/>
      <c r="V670" s="14"/>
      <c r="W670" s="14"/>
    </row>
    <row r="671">
      <c r="P671" s="14"/>
      <c r="Q671" s="14"/>
      <c r="T671" s="14"/>
      <c r="U671" s="14"/>
      <c r="V671" s="14"/>
      <c r="W671" s="14"/>
    </row>
    <row r="672">
      <c r="P672" s="14"/>
      <c r="Q672" s="14"/>
      <c r="T672" s="14"/>
      <c r="U672" s="14"/>
      <c r="V672" s="14"/>
      <c r="W672" s="14"/>
    </row>
    <row r="673">
      <c r="P673" s="14"/>
      <c r="Q673" s="14"/>
      <c r="T673" s="14"/>
      <c r="U673" s="14"/>
      <c r="V673" s="14"/>
      <c r="W673" s="14"/>
    </row>
    <row r="674">
      <c r="P674" s="14"/>
      <c r="Q674" s="14"/>
      <c r="T674" s="14"/>
      <c r="U674" s="14"/>
      <c r="V674" s="14"/>
      <c r="W674" s="14"/>
    </row>
    <row r="675">
      <c r="P675" s="14"/>
      <c r="Q675" s="14"/>
      <c r="T675" s="14"/>
      <c r="U675" s="14"/>
      <c r="V675" s="14"/>
      <c r="W675" s="14"/>
    </row>
    <row r="676">
      <c r="P676" s="14"/>
      <c r="Q676" s="14"/>
      <c r="T676" s="14"/>
      <c r="U676" s="14"/>
      <c r="V676" s="14"/>
      <c r="W676" s="14"/>
    </row>
    <row r="677">
      <c r="P677" s="14"/>
      <c r="Q677" s="14"/>
      <c r="T677" s="14"/>
      <c r="U677" s="14"/>
      <c r="V677" s="14"/>
      <c r="W677" s="14"/>
    </row>
    <row r="678">
      <c r="P678" s="14"/>
      <c r="Q678" s="14"/>
      <c r="T678" s="14"/>
      <c r="U678" s="14"/>
      <c r="V678" s="14"/>
      <c r="W678" s="14"/>
    </row>
    <row r="679">
      <c r="P679" s="14"/>
      <c r="Q679" s="14"/>
      <c r="T679" s="14"/>
      <c r="U679" s="14"/>
      <c r="V679" s="14"/>
      <c r="W679" s="14"/>
    </row>
    <row r="680">
      <c r="P680" s="14"/>
      <c r="Q680" s="14"/>
      <c r="T680" s="14"/>
      <c r="U680" s="14"/>
      <c r="V680" s="14"/>
      <c r="W680" s="14"/>
    </row>
    <row r="681">
      <c r="P681" s="14"/>
      <c r="Q681" s="14"/>
      <c r="T681" s="14"/>
      <c r="U681" s="14"/>
      <c r="V681" s="14"/>
      <c r="W681" s="14"/>
    </row>
    <row r="682">
      <c r="P682" s="14"/>
      <c r="Q682" s="14"/>
      <c r="T682" s="14"/>
      <c r="U682" s="14"/>
      <c r="V682" s="14"/>
      <c r="W682" s="14"/>
    </row>
    <row r="683">
      <c r="P683" s="14"/>
      <c r="Q683" s="14"/>
      <c r="T683" s="14"/>
      <c r="U683" s="14"/>
      <c r="V683" s="14"/>
      <c r="W683" s="14"/>
    </row>
    <row r="684">
      <c r="P684" s="14"/>
      <c r="Q684" s="14"/>
      <c r="T684" s="14"/>
      <c r="U684" s="14"/>
      <c r="V684" s="14"/>
      <c r="W684" s="14"/>
    </row>
    <row r="685">
      <c r="P685" s="14"/>
      <c r="Q685" s="14"/>
      <c r="T685" s="14"/>
      <c r="U685" s="14"/>
      <c r="V685" s="14"/>
      <c r="W685" s="14"/>
    </row>
    <row r="686">
      <c r="P686" s="14"/>
      <c r="Q686" s="14"/>
      <c r="T686" s="14"/>
      <c r="U686" s="14"/>
      <c r="V686" s="14"/>
      <c r="W686" s="14"/>
    </row>
    <row r="687">
      <c r="P687" s="14"/>
      <c r="Q687" s="14"/>
      <c r="T687" s="14"/>
      <c r="U687" s="14"/>
      <c r="V687" s="14"/>
      <c r="W687" s="14"/>
    </row>
    <row r="688">
      <c r="P688" s="14"/>
      <c r="Q688" s="14"/>
      <c r="T688" s="14"/>
      <c r="U688" s="14"/>
      <c r="V688" s="14"/>
      <c r="W688" s="14"/>
    </row>
    <row r="689">
      <c r="P689" s="14"/>
      <c r="Q689" s="14"/>
      <c r="T689" s="14"/>
      <c r="U689" s="14"/>
      <c r="V689" s="14"/>
      <c r="W689" s="14"/>
    </row>
    <row r="690">
      <c r="P690" s="14"/>
      <c r="Q690" s="14"/>
      <c r="T690" s="14"/>
      <c r="U690" s="14"/>
      <c r="V690" s="14"/>
      <c r="W690" s="14"/>
    </row>
    <row r="691">
      <c r="P691" s="14"/>
      <c r="Q691" s="14"/>
      <c r="T691" s="14"/>
      <c r="U691" s="14"/>
      <c r="V691" s="14"/>
      <c r="W691" s="14"/>
    </row>
    <row r="692">
      <c r="P692" s="14"/>
      <c r="Q692" s="14"/>
      <c r="T692" s="14"/>
      <c r="U692" s="14"/>
      <c r="V692" s="14"/>
      <c r="W692" s="14"/>
    </row>
    <row r="693">
      <c r="P693" s="14"/>
      <c r="Q693" s="14"/>
      <c r="T693" s="14"/>
      <c r="U693" s="14"/>
      <c r="V693" s="14"/>
      <c r="W693" s="14"/>
    </row>
    <row r="694">
      <c r="P694" s="14"/>
      <c r="Q694" s="14"/>
      <c r="T694" s="14"/>
      <c r="U694" s="14"/>
      <c r="V694" s="14"/>
      <c r="W694" s="14"/>
    </row>
    <row r="695">
      <c r="P695" s="14"/>
      <c r="Q695" s="14"/>
      <c r="T695" s="14"/>
      <c r="U695" s="14"/>
      <c r="V695" s="14"/>
      <c r="W695" s="14"/>
    </row>
    <row r="696">
      <c r="P696" s="14"/>
      <c r="Q696" s="14"/>
      <c r="T696" s="14"/>
      <c r="U696" s="14"/>
      <c r="V696" s="14"/>
      <c r="W696" s="14"/>
    </row>
    <row r="697">
      <c r="P697" s="14"/>
      <c r="Q697" s="14"/>
      <c r="T697" s="14"/>
      <c r="U697" s="14"/>
      <c r="V697" s="14"/>
      <c r="W697" s="14"/>
    </row>
    <row r="698">
      <c r="P698" s="14"/>
      <c r="Q698" s="14"/>
      <c r="T698" s="14"/>
      <c r="U698" s="14"/>
      <c r="V698" s="14"/>
      <c r="W698" s="14"/>
    </row>
    <row r="699">
      <c r="P699" s="14"/>
      <c r="Q699" s="14"/>
      <c r="T699" s="14"/>
      <c r="U699" s="14"/>
      <c r="V699" s="14"/>
      <c r="W699" s="14"/>
    </row>
    <row r="700">
      <c r="P700" s="14"/>
      <c r="Q700" s="14"/>
      <c r="T700" s="14"/>
      <c r="U700" s="14"/>
      <c r="V700" s="14"/>
      <c r="W700" s="14"/>
    </row>
    <row r="701">
      <c r="P701" s="14"/>
      <c r="Q701" s="14"/>
      <c r="T701" s="14"/>
      <c r="U701" s="14"/>
      <c r="V701" s="14"/>
      <c r="W701" s="14"/>
    </row>
    <row r="702">
      <c r="P702" s="14"/>
      <c r="Q702" s="14"/>
      <c r="T702" s="14"/>
      <c r="U702" s="14"/>
      <c r="V702" s="14"/>
      <c r="W702" s="14"/>
    </row>
    <row r="703">
      <c r="P703" s="14"/>
      <c r="Q703" s="14"/>
      <c r="T703" s="14"/>
      <c r="U703" s="14"/>
      <c r="V703" s="14"/>
      <c r="W703" s="14"/>
    </row>
    <row r="704">
      <c r="P704" s="14"/>
      <c r="Q704" s="14"/>
      <c r="T704" s="14"/>
      <c r="U704" s="14"/>
      <c r="V704" s="14"/>
      <c r="W704" s="14"/>
    </row>
    <row r="705">
      <c r="P705" s="14"/>
      <c r="Q705" s="14"/>
      <c r="T705" s="14"/>
      <c r="U705" s="14"/>
      <c r="V705" s="14"/>
      <c r="W705" s="14"/>
    </row>
    <row r="706">
      <c r="P706" s="14"/>
      <c r="Q706" s="14"/>
      <c r="T706" s="14"/>
      <c r="U706" s="14"/>
      <c r="V706" s="14"/>
      <c r="W706" s="14"/>
    </row>
    <row r="707">
      <c r="P707" s="14"/>
      <c r="Q707" s="14"/>
      <c r="T707" s="14"/>
      <c r="U707" s="14"/>
      <c r="V707" s="14"/>
      <c r="W707" s="14"/>
    </row>
    <row r="708">
      <c r="P708" s="14"/>
      <c r="Q708" s="14"/>
      <c r="T708" s="14"/>
      <c r="U708" s="14"/>
      <c r="V708" s="14"/>
      <c r="W708" s="14"/>
    </row>
    <row r="709">
      <c r="P709" s="14"/>
      <c r="Q709" s="14"/>
      <c r="T709" s="14"/>
      <c r="U709" s="14"/>
      <c r="V709" s="14"/>
      <c r="W709" s="14"/>
    </row>
    <row r="710">
      <c r="P710" s="14"/>
      <c r="Q710" s="14"/>
      <c r="T710" s="14"/>
      <c r="U710" s="14"/>
      <c r="V710" s="14"/>
      <c r="W710" s="14"/>
    </row>
    <row r="711">
      <c r="P711" s="14"/>
      <c r="Q711" s="14"/>
      <c r="T711" s="14"/>
      <c r="U711" s="14"/>
      <c r="V711" s="14"/>
      <c r="W711" s="14"/>
    </row>
    <row r="712">
      <c r="P712" s="14"/>
      <c r="Q712" s="14"/>
      <c r="T712" s="14"/>
      <c r="U712" s="14"/>
      <c r="V712" s="14"/>
      <c r="W712" s="14"/>
    </row>
    <row r="713">
      <c r="P713" s="14"/>
      <c r="Q713" s="14"/>
      <c r="T713" s="14"/>
      <c r="U713" s="14"/>
      <c r="V713" s="14"/>
      <c r="W713" s="14"/>
    </row>
    <row r="714">
      <c r="P714" s="14"/>
      <c r="Q714" s="14"/>
      <c r="T714" s="14"/>
      <c r="U714" s="14"/>
      <c r="V714" s="14"/>
      <c r="W714" s="14"/>
    </row>
    <row r="715">
      <c r="P715" s="14"/>
      <c r="Q715" s="14"/>
      <c r="T715" s="14"/>
      <c r="U715" s="14"/>
      <c r="V715" s="14"/>
      <c r="W715" s="14"/>
    </row>
    <row r="716">
      <c r="P716" s="14"/>
      <c r="Q716" s="14"/>
      <c r="T716" s="14"/>
      <c r="U716" s="14"/>
      <c r="V716" s="14"/>
      <c r="W716" s="14"/>
    </row>
    <row r="717">
      <c r="P717" s="14"/>
      <c r="Q717" s="14"/>
      <c r="T717" s="14"/>
      <c r="U717" s="14"/>
      <c r="V717" s="14"/>
      <c r="W717" s="14"/>
    </row>
    <row r="718">
      <c r="P718" s="14"/>
      <c r="Q718" s="14"/>
      <c r="T718" s="14"/>
      <c r="U718" s="14"/>
      <c r="V718" s="14"/>
      <c r="W718" s="14"/>
    </row>
    <row r="719">
      <c r="P719" s="14"/>
      <c r="Q719" s="14"/>
      <c r="T719" s="14"/>
      <c r="U719" s="14"/>
      <c r="V719" s="14"/>
      <c r="W719" s="14"/>
    </row>
    <row r="720">
      <c r="P720" s="14"/>
      <c r="Q720" s="14"/>
      <c r="T720" s="14"/>
      <c r="U720" s="14"/>
      <c r="V720" s="14"/>
      <c r="W720" s="14"/>
    </row>
    <row r="721">
      <c r="P721" s="14"/>
      <c r="Q721" s="14"/>
      <c r="T721" s="14"/>
      <c r="U721" s="14"/>
      <c r="V721" s="14"/>
      <c r="W721" s="14"/>
    </row>
    <row r="722">
      <c r="P722" s="14"/>
      <c r="Q722" s="14"/>
      <c r="T722" s="14"/>
      <c r="U722" s="14"/>
      <c r="V722" s="14"/>
      <c r="W722" s="14"/>
    </row>
    <row r="723">
      <c r="P723" s="14"/>
      <c r="Q723" s="14"/>
      <c r="T723" s="14"/>
      <c r="U723" s="14"/>
      <c r="V723" s="14"/>
      <c r="W723" s="14"/>
    </row>
    <row r="724">
      <c r="P724" s="14"/>
      <c r="Q724" s="14"/>
      <c r="T724" s="14"/>
      <c r="U724" s="14"/>
      <c r="V724" s="14"/>
      <c r="W724" s="14"/>
    </row>
    <row r="725">
      <c r="P725" s="14"/>
      <c r="Q725" s="14"/>
      <c r="T725" s="14"/>
      <c r="U725" s="14"/>
      <c r="V725" s="14"/>
      <c r="W725" s="14"/>
    </row>
    <row r="726">
      <c r="P726" s="14"/>
      <c r="Q726" s="14"/>
      <c r="T726" s="14"/>
      <c r="U726" s="14"/>
      <c r="V726" s="14"/>
      <c r="W726" s="14"/>
    </row>
    <row r="727">
      <c r="P727" s="14"/>
      <c r="Q727" s="14"/>
      <c r="T727" s="14"/>
      <c r="U727" s="14"/>
      <c r="V727" s="14"/>
      <c r="W727" s="14"/>
    </row>
    <row r="728">
      <c r="P728" s="14"/>
      <c r="Q728" s="14"/>
      <c r="T728" s="14"/>
      <c r="U728" s="14"/>
      <c r="V728" s="14"/>
      <c r="W728" s="14"/>
    </row>
    <row r="729">
      <c r="P729" s="14"/>
      <c r="Q729" s="14"/>
      <c r="T729" s="14"/>
      <c r="U729" s="14"/>
      <c r="V729" s="14"/>
      <c r="W729" s="14"/>
    </row>
    <row r="730">
      <c r="P730" s="14"/>
      <c r="Q730" s="14"/>
      <c r="T730" s="14"/>
      <c r="U730" s="14"/>
      <c r="V730" s="14"/>
      <c r="W730" s="14"/>
    </row>
    <row r="731">
      <c r="P731" s="14"/>
      <c r="Q731" s="14"/>
      <c r="T731" s="14"/>
      <c r="U731" s="14"/>
      <c r="V731" s="14"/>
      <c r="W731" s="14"/>
    </row>
    <row r="732">
      <c r="P732" s="14"/>
      <c r="Q732" s="14"/>
      <c r="T732" s="14"/>
      <c r="U732" s="14"/>
      <c r="V732" s="14"/>
      <c r="W732" s="14"/>
    </row>
    <row r="733">
      <c r="P733" s="14"/>
      <c r="Q733" s="14"/>
      <c r="T733" s="14"/>
      <c r="U733" s="14"/>
      <c r="V733" s="14"/>
      <c r="W733" s="14"/>
    </row>
    <row r="734">
      <c r="P734" s="14"/>
      <c r="Q734" s="14"/>
      <c r="T734" s="14"/>
      <c r="U734" s="14"/>
      <c r="V734" s="14"/>
      <c r="W734" s="14"/>
    </row>
    <row r="735">
      <c r="P735" s="14"/>
      <c r="Q735" s="14"/>
      <c r="T735" s="14"/>
      <c r="U735" s="14"/>
      <c r="V735" s="14"/>
      <c r="W735" s="14"/>
    </row>
    <row r="736">
      <c r="P736" s="14"/>
      <c r="Q736" s="14"/>
      <c r="T736" s="14"/>
      <c r="U736" s="14"/>
      <c r="V736" s="14"/>
      <c r="W736" s="14"/>
    </row>
    <row r="737">
      <c r="P737" s="14"/>
      <c r="Q737" s="14"/>
      <c r="T737" s="14"/>
      <c r="U737" s="14"/>
      <c r="V737" s="14"/>
      <c r="W737" s="14"/>
    </row>
    <row r="738">
      <c r="P738" s="14"/>
      <c r="Q738" s="14"/>
      <c r="T738" s="14"/>
      <c r="U738" s="14"/>
      <c r="V738" s="14"/>
      <c r="W738" s="14"/>
    </row>
    <row r="739">
      <c r="P739" s="14"/>
      <c r="Q739" s="14"/>
      <c r="T739" s="14"/>
      <c r="U739" s="14"/>
      <c r="V739" s="14"/>
      <c r="W739" s="14"/>
    </row>
    <row r="740">
      <c r="P740" s="14"/>
      <c r="Q740" s="14"/>
      <c r="T740" s="14"/>
      <c r="U740" s="14"/>
      <c r="V740" s="14"/>
      <c r="W740" s="14"/>
    </row>
    <row r="741">
      <c r="P741" s="14"/>
      <c r="Q741" s="14"/>
      <c r="T741" s="14"/>
      <c r="U741" s="14"/>
      <c r="V741" s="14"/>
      <c r="W741" s="14"/>
    </row>
    <row r="742">
      <c r="P742" s="14"/>
      <c r="Q742" s="14"/>
      <c r="T742" s="14"/>
      <c r="U742" s="14"/>
      <c r="V742" s="14"/>
      <c r="W742" s="14"/>
    </row>
    <row r="743">
      <c r="P743" s="14"/>
      <c r="Q743" s="14"/>
      <c r="T743" s="14"/>
      <c r="U743" s="14"/>
      <c r="V743" s="14"/>
      <c r="W743" s="14"/>
    </row>
    <row r="744">
      <c r="P744" s="14"/>
      <c r="Q744" s="14"/>
      <c r="T744" s="14"/>
      <c r="U744" s="14"/>
      <c r="V744" s="14"/>
      <c r="W744" s="14"/>
    </row>
    <row r="745">
      <c r="P745" s="14"/>
      <c r="Q745" s="14"/>
      <c r="T745" s="14"/>
      <c r="U745" s="14"/>
      <c r="V745" s="14"/>
      <c r="W745" s="14"/>
    </row>
    <row r="746">
      <c r="P746" s="14"/>
      <c r="Q746" s="14"/>
      <c r="T746" s="14"/>
      <c r="U746" s="14"/>
      <c r="V746" s="14"/>
      <c r="W746" s="14"/>
    </row>
    <row r="747">
      <c r="P747" s="14"/>
      <c r="Q747" s="14"/>
      <c r="T747" s="14"/>
      <c r="U747" s="14"/>
      <c r="V747" s="14"/>
      <c r="W747" s="14"/>
    </row>
    <row r="748">
      <c r="P748" s="14"/>
      <c r="Q748" s="14"/>
      <c r="T748" s="14"/>
      <c r="U748" s="14"/>
      <c r="V748" s="14"/>
      <c r="W748" s="14"/>
    </row>
    <row r="749">
      <c r="P749" s="14"/>
      <c r="Q749" s="14"/>
      <c r="T749" s="14"/>
      <c r="U749" s="14"/>
      <c r="V749" s="14"/>
      <c r="W749" s="14"/>
    </row>
    <row r="750">
      <c r="P750" s="14"/>
      <c r="Q750" s="14"/>
      <c r="T750" s="14"/>
      <c r="U750" s="14"/>
      <c r="V750" s="14"/>
      <c r="W750" s="14"/>
    </row>
    <row r="751">
      <c r="P751" s="14"/>
      <c r="Q751" s="14"/>
      <c r="T751" s="14"/>
      <c r="U751" s="14"/>
      <c r="V751" s="14"/>
      <c r="W751" s="14"/>
    </row>
    <row r="752">
      <c r="P752" s="14"/>
      <c r="Q752" s="14"/>
      <c r="T752" s="14"/>
      <c r="U752" s="14"/>
      <c r="V752" s="14"/>
      <c r="W752" s="14"/>
    </row>
    <row r="753">
      <c r="P753" s="14"/>
      <c r="Q753" s="14"/>
      <c r="T753" s="14"/>
      <c r="U753" s="14"/>
      <c r="V753" s="14"/>
      <c r="W753" s="14"/>
    </row>
    <row r="754">
      <c r="P754" s="14"/>
      <c r="Q754" s="14"/>
      <c r="T754" s="14"/>
      <c r="U754" s="14"/>
      <c r="V754" s="14"/>
      <c r="W754" s="14"/>
    </row>
    <row r="755">
      <c r="P755" s="14"/>
      <c r="Q755" s="14"/>
      <c r="T755" s="14"/>
      <c r="U755" s="14"/>
      <c r="V755" s="14"/>
      <c r="W755" s="14"/>
    </row>
    <row r="756">
      <c r="P756" s="14"/>
      <c r="Q756" s="14"/>
      <c r="T756" s="14"/>
      <c r="U756" s="14"/>
      <c r="V756" s="14"/>
      <c r="W756" s="14"/>
    </row>
    <row r="757">
      <c r="P757" s="14"/>
      <c r="Q757" s="14"/>
      <c r="T757" s="14"/>
      <c r="U757" s="14"/>
      <c r="V757" s="14"/>
      <c r="W757" s="14"/>
    </row>
    <row r="758">
      <c r="P758" s="14"/>
      <c r="Q758" s="14"/>
      <c r="T758" s="14"/>
      <c r="U758" s="14"/>
      <c r="V758" s="14"/>
      <c r="W758" s="14"/>
    </row>
    <row r="759">
      <c r="P759" s="14"/>
      <c r="Q759" s="14"/>
      <c r="T759" s="14"/>
      <c r="U759" s="14"/>
      <c r="V759" s="14"/>
      <c r="W759" s="14"/>
    </row>
    <row r="760">
      <c r="P760" s="14"/>
      <c r="Q760" s="14"/>
      <c r="T760" s="14"/>
      <c r="U760" s="14"/>
      <c r="V760" s="14"/>
      <c r="W760" s="14"/>
    </row>
    <row r="761">
      <c r="P761" s="14"/>
      <c r="Q761" s="14"/>
      <c r="T761" s="14"/>
      <c r="U761" s="14"/>
      <c r="V761" s="14"/>
      <c r="W761" s="14"/>
    </row>
    <row r="762">
      <c r="P762" s="14"/>
      <c r="Q762" s="14"/>
      <c r="T762" s="14"/>
      <c r="U762" s="14"/>
      <c r="V762" s="14"/>
      <c r="W762" s="14"/>
    </row>
    <row r="763">
      <c r="P763" s="14"/>
      <c r="Q763" s="14"/>
      <c r="T763" s="14"/>
      <c r="U763" s="14"/>
      <c r="V763" s="14"/>
      <c r="W763" s="14"/>
    </row>
    <row r="764">
      <c r="P764" s="14"/>
      <c r="Q764" s="14"/>
      <c r="T764" s="14"/>
      <c r="U764" s="14"/>
      <c r="V764" s="14"/>
      <c r="W764" s="14"/>
    </row>
    <row r="765">
      <c r="P765" s="14"/>
      <c r="Q765" s="14"/>
      <c r="T765" s="14"/>
      <c r="U765" s="14"/>
      <c r="V765" s="14"/>
      <c r="W765" s="14"/>
    </row>
    <row r="766">
      <c r="P766" s="14"/>
      <c r="Q766" s="14"/>
      <c r="T766" s="14"/>
      <c r="U766" s="14"/>
      <c r="V766" s="14"/>
      <c r="W766" s="14"/>
    </row>
    <row r="767">
      <c r="P767" s="14"/>
      <c r="Q767" s="14"/>
      <c r="T767" s="14"/>
      <c r="U767" s="14"/>
      <c r="V767" s="14"/>
      <c r="W767" s="14"/>
    </row>
    <row r="768">
      <c r="P768" s="14"/>
      <c r="Q768" s="14"/>
      <c r="T768" s="14"/>
      <c r="U768" s="14"/>
      <c r="V768" s="14"/>
      <c r="W768" s="14"/>
    </row>
    <row r="769">
      <c r="P769" s="14"/>
      <c r="Q769" s="14"/>
      <c r="T769" s="14"/>
      <c r="U769" s="14"/>
      <c r="V769" s="14"/>
      <c r="W769" s="14"/>
    </row>
    <row r="770">
      <c r="P770" s="14"/>
      <c r="Q770" s="14"/>
      <c r="T770" s="14"/>
      <c r="U770" s="14"/>
      <c r="V770" s="14"/>
      <c r="W770" s="14"/>
    </row>
    <row r="771">
      <c r="P771" s="14"/>
      <c r="Q771" s="14"/>
      <c r="T771" s="14"/>
      <c r="U771" s="14"/>
      <c r="V771" s="14"/>
      <c r="W771" s="14"/>
    </row>
    <row r="772">
      <c r="P772" s="14"/>
      <c r="Q772" s="14"/>
      <c r="T772" s="14"/>
      <c r="U772" s="14"/>
      <c r="V772" s="14"/>
      <c r="W772" s="14"/>
    </row>
    <row r="773">
      <c r="P773" s="14"/>
      <c r="Q773" s="14"/>
      <c r="T773" s="14"/>
      <c r="U773" s="14"/>
      <c r="V773" s="14"/>
      <c r="W773" s="14"/>
    </row>
    <row r="774">
      <c r="P774" s="14"/>
      <c r="Q774" s="14"/>
      <c r="T774" s="14"/>
      <c r="U774" s="14"/>
      <c r="V774" s="14"/>
      <c r="W774" s="14"/>
    </row>
    <row r="775">
      <c r="P775" s="14"/>
      <c r="Q775" s="14"/>
      <c r="T775" s="14"/>
      <c r="U775" s="14"/>
      <c r="V775" s="14"/>
      <c r="W775" s="14"/>
    </row>
    <row r="776">
      <c r="P776" s="14"/>
      <c r="Q776" s="14"/>
      <c r="T776" s="14"/>
      <c r="U776" s="14"/>
      <c r="V776" s="14"/>
      <c r="W776" s="14"/>
    </row>
    <row r="777">
      <c r="P777" s="14"/>
      <c r="Q777" s="14"/>
      <c r="T777" s="14"/>
      <c r="U777" s="14"/>
      <c r="V777" s="14"/>
      <c r="W777" s="14"/>
    </row>
    <row r="778">
      <c r="P778" s="14"/>
      <c r="Q778" s="14"/>
      <c r="T778" s="14"/>
      <c r="U778" s="14"/>
      <c r="V778" s="14"/>
      <c r="W778" s="14"/>
    </row>
    <row r="779">
      <c r="P779" s="14"/>
      <c r="Q779" s="14"/>
      <c r="T779" s="14"/>
      <c r="U779" s="14"/>
      <c r="V779" s="14"/>
      <c r="W779" s="14"/>
    </row>
    <row r="780">
      <c r="P780" s="14"/>
      <c r="Q780" s="14"/>
      <c r="T780" s="14"/>
      <c r="U780" s="14"/>
      <c r="V780" s="14"/>
      <c r="W780" s="14"/>
    </row>
    <row r="781">
      <c r="P781" s="14"/>
      <c r="Q781" s="14"/>
      <c r="T781" s="14"/>
      <c r="U781" s="14"/>
      <c r="V781" s="14"/>
      <c r="W781" s="14"/>
    </row>
    <row r="782">
      <c r="P782" s="14"/>
      <c r="Q782" s="14"/>
      <c r="T782" s="14"/>
      <c r="U782" s="14"/>
      <c r="V782" s="14"/>
      <c r="W782" s="14"/>
    </row>
    <row r="783">
      <c r="P783" s="14"/>
      <c r="Q783" s="14"/>
      <c r="T783" s="14"/>
      <c r="U783" s="14"/>
      <c r="V783" s="14"/>
      <c r="W783" s="14"/>
    </row>
    <row r="784">
      <c r="P784" s="14"/>
      <c r="Q784" s="14"/>
      <c r="T784" s="14"/>
      <c r="U784" s="14"/>
      <c r="V784" s="14"/>
      <c r="W784" s="14"/>
    </row>
    <row r="785">
      <c r="P785" s="14"/>
      <c r="Q785" s="14"/>
      <c r="T785" s="14"/>
      <c r="U785" s="14"/>
      <c r="V785" s="14"/>
      <c r="W785" s="14"/>
    </row>
    <row r="786">
      <c r="P786" s="14"/>
      <c r="Q786" s="14"/>
      <c r="T786" s="14"/>
      <c r="U786" s="14"/>
      <c r="V786" s="14"/>
      <c r="W786" s="14"/>
    </row>
    <row r="787">
      <c r="P787" s="14"/>
      <c r="Q787" s="14"/>
      <c r="T787" s="14"/>
      <c r="U787" s="14"/>
      <c r="V787" s="14"/>
      <c r="W787" s="14"/>
    </row>
    <row r="788">
      <c r="P788" s="14"/>
      <c r="Q788" s="14"/>
      <c r="T788" s="14"/>
      <c r="U788" s="14"/>
      <c r="V788" s="14"/>
      <c r="W788" s="14"/>
    </row>
    <row r="789">
      <c r="P789" s="14"/>
      <c r="Q789" s="14"/>
      <c r="T789" s="14"/>
      <c r="U789" s="14"/>
      <c r="V789" s="14"/>
      <c r="W789" s="14"/>
    </row>
    <row r="790">
      <c r="P790" s="14"/>
      <c r="Q790" s="14"/>
      <c r="T790" s="14"/>
      <c r="U790" s="14"/>
      <c r="V790" s="14"/>
      <c r="W790" s="14"/>
    </row>
    <row r="791">
      <c r="P791" s="14"/>
      <c r="Q791" s="14"/>
      <c r="T791" s="14"/>
      <c r="U791" s="14"/>
      <c r="V791" s="14"/>
      <c r="W791" s="14"/>
    </row>
    <row r="792">
      <c r="P792" s="14"/>
      <c r="Q792" s="14"/>
      <c r="T792" s="14"/>
      <c r="U792" s="14"/>
      <c r="V792" s="14"/>
      <c r="W792" s="14"/>
    </row>
    <row r="793">
      <c r="P793" s="14"/>
      <c r="Q793" s="14"/>
      <c r="T793" s="14"/>
      <c r="U793" s="14"/>
      <c r="V793" s="14"/>
      <c r="W793" s="14"/>
    </row>
    <row r="794">
      <c r="P794" s="14"/>
      <c r="Q794" s="14"/>
      <c r="T794" s="14"/>
      <c r="U794" s="14"/>
      <c r="V794" s="14"/>
      <c r="W794" s="14"/>
    </row>
    <row r="795">
      <c r="P795" s="14"/>
      <c r="Q795" s="14"/>
      <c r="T795" s="14"/>
      <c r="U795" s="14"/>
      <c r="V795" s="14"/>
      <c r="W795" s="14"/>
    </row>
    <row r="796">
      <c r="P796" s="14"/>
      <c r="Q796" s="14"/>
      <c r="T796" s="14"/>
      <c r="U796" s="14"/>
      <c r="V796" s="14"/>
      <c r="W796" s="14"/>
    </row>
    <row r="797">
      <c r="P797" s="14"/>
      <c r="Q797" s="14"/>
      <c r="T797" s="14"/>
      <c r="U797" s="14"/>
      <c r="V797" s="14"/>
      <c r="W797" s="14"/>
    </row>
    <row r="798">
      <c r="P798" s="14"/>
      <c r="Q798" s="14"/>
      <c r="T798" s="14"/>
      <c r="U798" s="14"/>
      <c r="V798" s="14"/>
      <c r="W798" s="14"/>
    </row>
    <row r="799">
      <c r="P799" s="14"/>
      <c r="Q799" s="14"/>
      <c r="T799" s="14"/>
      <c r="U799" s="14"/>
      <c r="V799" s="14"/>
      <c r="W799" s="14"/>
    </row>
    <row r="800">
      <c r="P800" s="14"/>
      <c r="Q800" s="14"/>
      <c r="T800" s="14"/>
      <c r="U800" s="14"/>
      <c r="V800" s="14"/>
      <c r="W800" s="14"/>
    </row>
    <row r="801">
      <c r="P801" s="14"/>
      <c r="Q801" s="14"/>
      <c r="T801" s="14"/>
      <c r="U801" s="14"/>
      <c r="V801" s="14"/>
      <c r="W801" s="14"/>
    </row>
    <row r="802">
      <c r="P802" s="14"/>
      <c r="Q802" s="14"/>
      <c r="T802" s="14"/>
      <c r="U802" s="14"/>
      <c r="V802" s="14"/>
      <c r="W802" s="14"/>
    </row>
    <row r="803">
      <c r="P803" s="14"/>
      <c r="Q803" s="14"/>
      <c r="T803" s="14"/>
      <c r="U803" s="14"/>
      <c r="V803" s="14"/>
      <c r="W803" s="14"/>
    </row>
    <row r="804">
      <c r="P804" s="14"/>
      <c r="Q804" s="14"/>
      <c r="T804" s="14"/>
      <c r="U804" s="14"/>
      <c r="V804" s="14"/>
      <c r="W804" s="14"/>
    </row>
    <row r="805">
      <c r="P805" s="14"/>
      <c r="Q805" s="14"/>
      <c r="T805" s="14"/>
      <c r="U805" s="14"/>
      <c r="V805" s="14"/>
      <c r="W805" s="14"/>
    </row>
    <row r="806">
      <c r="P806" s="14"/>
      <c r="Q806" s="14"/>
      <c r="T806" s="14"/>
      <c r="U806" s="14"/>
      <c r="V806" s="14"/>
      <c r="W806" s="14"/>
    </row>
    <row r="807">
      <c r="P807" s="14"/>
      <c r="Q807" s="14"/>
      <c r="T807" s="14"/>
      <c r="U807" s="14"/>
      <c r="V807" s="14"/>
      <c r="W807" s="14"/>
    </row>
    <row r="808">
      <c r="P808" s="14"/>
      <c r="Q808" s="14"/>
      <c r="T808" s="14"/>
      <c r="U808" s="14"/>
      <c r="V808" s="14"/>
      <c r="W808" s="14"/>
    </row>
    <row r="809">
      <c r="P809" s="14"/>
      <c r="Q809" s="14"/>
      <c r="T809" s="14"/>
      <c r="U809" s="14"/>
      <c r="V809" s="14"/>
      <c r="W809" s="14"/>
    </row>
    <row r="810">
      <c r="P810" s="14"/>
      <c r="Q810" s="14"/>
      <c r="T810" s="14"/>
      <c r="U810" s="14"/>
      <c r="V810" s="14"/>
      <c r="W810" s="14"/>
    </row>
    <row r="811">
      <c r="P811" s="14"/>
      <c r="Q811" s="14"/>
      <c r="T811" s="14"/>
      <c r="U811" s="14"/>
      <c r="V811" s="14"/>
      <c r="W811" s="14"/>
    </row>
    <row r="812">
      <c r="P812" s="14"/>
      <c r="Q812" s="14"/>
      <c r="T812" s="14"/>
      <c r="U812" s="14"/>
      <c r="V812" s="14"/>
      <c r="W812" s="14"/>
    </row>
    <row r="813">
      <c r="P813" s="14"/>
      <c r="Q813" s="14"/>
      <c r="T813" s="14"/>
      <c r="U813" s="14"/>
      <c r="V813" s="14"/>
      <c r="W813" s="14"/>
    </row>
    <row r="814">
      <c r="P814" s="14"/>
      <c r="Q814" s="14"/>
      <c r="T814" s="14"/>
      <c r="U814" s="14"/>
      <c r="V814" s="14"/>
      <c r="W814" s="14"/>
    </row>
    <row r="815">
      <c r="P815" s="14"/>
      <c r="Q815" s="14"/>
      <c r="T815" s="14"/>
      <c r="U815" s="14"/>
      <c r="V815" s="14"/>
      <c r="W815" s="14"/>
    </row>
    <row r="816">
      <c r="P816" s="14"/>
      <c r="Q816" s="14"/>
      <c r="T816" s="14"/>
      <c r="U816" s="14"/>
      <c r="V816" s="14"/>
      <c r="W816" s="14"/>
    </row>
    <row r="817">
      <c r="P817" s="14"/>
      <c r="Q817" s="14"/>
      <c r="T817" s="14"/>
      <c r="U817" s="14"/>
      <c r="V817" s="14"/>
      <c r="W817" s="14"/>
    </row>
    <row r="818">
      <c r="P818" s="14"/>
      <c r="Q818" s="14"/>
      <c r="T818" s="14"/>
      <c r="U818" s="14"/>
      <c r="V818" s="14"/>
      <c r="W818" s="14"/>
    </row>
    <row r="819">
      <c r="P819" s="14"/>
      <c r="Q819" s="14"/>
      <c r="T819" s="14"/>
      <c r="U819" s="14"/>
      <c r="V819" s="14"/>
      <c r="W819" s="14"/>
    </row>
    <row r="820">
      <c r="P820" s="14"/>
      <c r="Q820" s="14"/>
      <c r="T820" s="14"/>
      <c r="U820" s="14"/>
      <c r="V820" s="14"/>
      <c r="W820" s="14"/>
    </row>
    <row r="821">
      <c r="P821" s="14"/>
      <c r="Q821" s="14"/>
      <c r="T821" s="14"/>
      <c r="U821" s="14"/>
      <c r="V821" s="14"/>
      <c r="W821" s="14"/>
    </row>
    <row r="822">
      <c r="P822" s="14"/>
      <c r="Q822" s="14"/>
      <c r="T822" s="14"/>
      <c r="U822" s="14"/>
      <c r="V822" s="14"/>
      <c r="W822" s="14"/>
    </row>
    <row r="823">
      <c r="P823" s="14"/>
      <c r="Q823" s="14"/>
      <c r="T823" s="14"/>
      <c r="U823" s="14"/>
      <c r="V823" s="14"/>
      <c r="W823" s="14"/>
    </row>
    <row r="824">
      <c r="P824" s="14"/>
      <c r="Q824" s="14"/>
      <c r="T824" s="14"/>
      <c r="U824" s="14"/>
      <c r="V824" s="14"/>
      <c r="W824" s="14"/>
    </row>
    <row r="825">
      <c r="P825" s="14"/>
      <c r="Q825" s="14"/>
      <c r="T825" s="14"/>
      <c r="U825" s="14"/>
      <c r="V825" s="14"/>
      <c r="W825" s="14"/>
    </row>
    <row r="826">
      <c r="P826" s="14"/>
      <c r="Q826" s="14"/>
      <c r="T826" s="14"/>
      <c r="U826" s="14"/>
      <c r="V826" s="14"/>
      <c r="W826" s="14"/>
    </row>
    <row r="827">
      <c r="P827" s="14"/>
      <c r="Q827" s="14"/>
      <c r="T827" s="14"/>
      <c r="U827" s="14"/>
      <c r="V827" s="14"/>
      <c r="W827" s="14"/>
    </row>
    <row r="828">
      <c r="P828" s="14"/>
      <c r="Q828" s="14"/>
      <c r="T828" s="14"/>
      <c r="U828" s="14"/>
      <c r="V828" s="14"/>
      <c r="W828" s="14"/>
    </row>
    <row r="829">
      <c r="P829" s="14"/>
      <c r="Q829" s="14"/>
      <c r="T829" s="14"/>
      <c r="U829" s="14"/>
      <c r="V829" s="14"/>
      <c r="W829" s="14"/>
    </row>
    <row r="830">
      <c r="P830" s="14"/>
      <c r="Q830" s="14"/>
      <c r="T830" s="14"/>
      <c r="U830" s="14"/>
      <c r="V830" s="14"/>
      <c r="W830" s="14"/>
    </row>
    <row r="831">
      <c r="P831" s="14"/>
      <c r="Q831" s="14"/>
      <c r="T831" s="14"/>
      <c r="U831" s="14"/>
      <c r="V831" s="14"/>
      <c r="W831" s="14"/>
    </row>
    <row r="832">
      <c r="P832" s="14"/>
      <c r="Q832" s="14"/>
      <c r="T832" s="14"/>
      <c r="U832" s="14"/>
      <c r="V832" s="14"/>
      <c r="W832" s="14"/>
    </row>
    <row r="833">
      <c r="P833" s="14"/>
      <c r="Q833" s="14"/>
      <c r="T833" s="14"/>
      <c r="U833" s="14"/>
      <c r="V833" s="14"/>
      <c r="W833" s="14"/>
    </row>
    <row r="834">
      <c r="P834" s="14"/>
      <c r="Q834" s="14"/>
      <c r="T834" s="14"/>
      <c r="U834" s="14"/>
      <c r="V834" s="14"/>
      <c r="W834" s="14"/>
    </row>
    <row r="835">
      <c r="P835" s="14"/>
      <c r="Q835" s="14"/>
      <c r="T835" s="14"/>
      <c r="U835" s="14"/>
      <c r="V835" s="14"/>
      <c r="W835" s="14"/>
    </row>
    <row r="836">
      <c r="P836" s="14"/>
      <c r="Q836" s="14"/>
      <c r="T836" s="14"/>
      <c r="U836" s="14"/>
      <c r="V836" s="14"/>
      <c r="W836" s="14"/>
    </row>
    <row r="837">
      <c r="P837" s="14"/>
      <c r="Q837" s="14"/>
      <c r="T837" s="14"/>
      <c r="U837" s="14"/>
      <c r="V837" s="14"/>
      <c r="W837" s="14"/>
    </row>
    <row r="838">
      <c r="P838" s="14"/>
      <c r="Q838" s="14"/>
      <c r="T838" s="14"/>
      <c r="U838" s="14"/>
      <c r="V838" s="14"/>
      <c r="W838" s="14"/>
    </row>
    <row r="839">
      <c r="P839" s="14"/>
      <c r="Q839" s="14"/>
      <c r="T839" s="14"/>
      <c r="U839" s="14"/>
      <c r="V839" s="14"/>
      <c r="W839" s="14"/>
    </row>
    <row r="840">
      <c r="P840" s="14"/>
      <c r="Q840" s="14"/>
      <c r="T840" s="14"/>
      <c r="U840" s="14"/>
      <c r="V840" s="14"/>
      <c r="W840" s="14"/>
    </row>
    <row r="841">
      <c r="P841" s="14"/>
      <c r="Q841" s="14"/>
      <c r="T841" s="14"/>
      <c r="U841" s="14"/>
      <c r="V841" s="14"/>
      <c r="W841" s="14"/>
    </row>
    <row r="842">
      <c r="P842" s="14"/>
      <c r="Q842" s="14"/>
      <c r="T842" s="14"/>
      <c r="U842" s="14"/>
      <c r="V842" s="14"/>
      <c r="W842" s="14"/>
    </row>
    <row r="843">
      <c r="P843" s="14"/>
      <c r="Q843" s="14"/>
      <c r="T843" s="14"/>
      <c r="U843" s="14"/>
      <c r="V843" s="14"/>
      <c r="W843" s="14"/>
    </row>
    <row r="844">
      <c r="P844" s="14"/>
      <c r="Q844" s="14"/>
      <c r="T844" s="14"/>
      <c r="U844" s="14"/>
      <c r="V844" s="14"/>
      <c r="W844" s="14"/>
    </row>
    <row r="845">
      <c r="P845" s="14"/>
      <c r="Q845" s="14"/>
      <c r="T845" s="14"/>
      <c r="U845" s="14"/>
      <c r="V845" s="14"/>
      <c r="W845" s="14"/>
    </row>
    <row r="846">
      <c r="P846" s="14"/>
      <c r="Q846" s="14"/>
      <c r="T846" s="14"/>
      <c r="U846" s="14"/>
      <c r="V846" s="14"/>
      <c r="W846" s="14"/>
    </row>
    <row r="847">
      <c r="P847" s="14"/>
      <c r="Q847" s="14"/>
      <c r="T847" s="14"/>
      <c r="U847" s="14"/>
      <c r="V847" s="14"/>
      <c r="W847" s="14"/>
    </row>
    <row r="848">
      <c r="P848" s="14"/>
      <c r="Q848" s="14"/>
      <c r="T848" s="14"/>
      <c r="U848" s="14"/>
      <c r="V848" s="14"/>
      <c r="W848" s="14"/>
    </row>
    <row r="849">
      <c r="P849" s="14"/>
      <c r="Q849" s="14"/>
      <c r="T849" s="14"/>
      <c r="U849" s="14"/>
      <c r="V849" s="14"/>
      <c r="W849" s="14"/>
    </row>
    <row r="850">
      <c r="P850" s="14"/>
      <c r="Q850" s="14"/>
      <c r="T850" s="14"/>
      <c r="U850" s="14"/>
      <c r="V850" s="14"/>
      <c r="W850" s="14"/>
    </row>
    <row r="851">
      <c r="P851" s="14"/>
      <c r="Q851" s="14"/>
      <c r="T851" s="14"/>
      <c r="U851" s="14"/>
      <c r="V851" s="14"/>
      <c r="W851" s="14"/>
    </row>
    <row r="852">
      <c r="P852" s="14"/>
      <c r="Q852" s="14"/>
      <c r="T852" s="14"/>
      <c r="U852" s="14"/>
      <c r="V852" s="14"/>
      <c r="W852" s="14"/>
    </row>
    <row r="853">
      <c r="P853" s="14"/>
      <c r="Q853" s="14"/>
      <c r="T853" s="14"/>
      <c r="U853" s="14"/>
      <c r="V853" s="14"/>
      <c r="W853" s="14"/>
    </row>
    <row r="854">
      <c r="P854" s="14"/>
      <c r="Q854" s="14"/>
      <c r="T854" s="14"/>
      <c r="U854" s="14"/>
      <c r="V854" s="14"/>
      <c r="W854" s="14"/>
    </row>
    <row r="855">
      <c r="P855" s="14"/>
      <c r="Q855" s="14"/>
      <c r="T855" s="14"/>
      <c r="U855" s="14"/>
      <c r="V855" s="14"/>
      <c r="W855" s="14"/>
    </row>
    <row r="856">
      <c r="P856" s="14"/>
      <c r="Q856" s="14"/>
      <c r="T856" s="14"/>
      <c r="U856" s="14"/>
      <c r="V856" s="14"/>
      <c r="W856" s="14"/>
    </row>
    <row r="857">
      <c r="P857" s="14"/>
      <c r="Q857" s="14"/>
      <c r="T857" s="14"/>
      <c r="U857" s="14"/>
      <c r="V857" s="14"/>
      <c r="W857" s="14"/>
    </row>
    <row r="858">
      <c r="P858" s="14"/>
      <c r="Q858" s="14"/>
      <c r="T858" s="14"/>
      <c r="U858" s="14"/>
      <c r="V858" s="14"/>
      <c r="W858" s="14"/>
    </row>
    <row r="859">
      <c r="P859" s="14"/>
      <c r="Q859" s="14"/>
      <c r="T859" s="14"/>
      <c r="U859" s="14"/>
      <c r="V859" s="14"/>
      <c r="W859" s="14"/>
    </row>
    <row r="860">
      <c r="P860" s="14"/>
      <c r="Q860" s="14"/>
      <c r="T860" s="14"/>
      <c r="U860" s="14"/>
      <c r="V860" s="14"/>
      <c r="W860" s="14"/>
    </row>
    <row r="861">
      <c r="P861" s="14"/>
      <c r="Q861" s="14"/>
      <c r="T861" s="14"/>
      <c r="U861" s="14"/>
      <c r="V861" s="14"/>
      <c r="W861" s="14"/>
    </row>
    <row r="862">
      <c r="P862" s="14"/>
      <c r="Q862" s="14"/>
      <c r="T862" s="14"/>
      <c r="U862" s="14"/>
      <c r="V862" s="14"/>
      <c r="W862" s="14"/>
    </row>
    <row r="863">
      <c r="P863" s="14"/>
      <c r="Q863" s="14"/>
      <c r="T863" s="14"/>
      <c r="U863" s="14"/>
      <c r="V863" s="14"/>
      <c r="W863" s="14"/>
    </row>
    <row r="864">
      <c r="P864" s="14"/>
      <c r="Q864" s="14"/>
      <c r="T864" s="14"/>
      <c r="U864" s="14"/>
      <c r="V864" s="14"/>
      <c r="W864" s="14"/>
    </row>
    <row r="865">
      <c r="P865" s="14"/>
      <c r="Q865" s="14"/>
      <c r="T865" s="14"/>
      <c r="U865" s="14"/>
      <c r="V865" s="14"/>
      <c r="W865" s="14"/>
    </row>
    <row r="866">
      <c r="P866" s="14"/>
      <c r="Q866" s="14"/>
      <c r="T866" s="14"/>
      <c r="U866" s="14"/>
      <c r="V866" s="14"/>
      <c r="W866" s="14"/>
    </row>
    <row r="867">
      <c r="P867" s="14"/>
      <c r="Q867" s="14"/>
      <c r="T867" s="14"/>
      <c r="U867" s="14"/>
      <c r="V867" s="14"/>
      <c r="W867" s="14"/>
    </row>
    <row r="868">
      <c r="P868" s="14"/>
      <c r="Q868" s="14"/>
      <c r="T868" s="14"/>
      <c r="U868" s="14"/>
      <c r="V868" s="14"/>
      <c r="W868" s="14"/>
    </row>
    <row r="869">
      <c r="P869" s="14"/>
      <c r="Q869" s="14"/>
      <c r="T869" s="14"/>
      <c r="U869" s="14"/>
      <c r="V869" s="14"/>
      <c r="W869" s="14"/>
    </row>
    <row r="870">
      <c r="P870" s="14"/>
      <c r="Q870" s="14"/>
      <c r="T870" s="14"/>
      <c r="U870" s="14"/>
      <c r="V870" s="14"/>
      <c r="W870" s="14"/>
    </row>
    <row r="871">
      <c r="P871" s="14"/>
      <c r="Q871" s="14"/>
      <c r="T871" s="14"/>
      <c r="U871" s="14"/>
      <c r="V871" s="14"/>
      <c r="W871" s="14"/>
    </row>
    <row r="872">
      <c r="P872" s="14"/>
      <c r="Q872" s="14"/>
      <c r="T872" s="14"/>
      <c r="U872" s="14"/>
      <c r="V872" s="14"/>
      <c r="W872" s="14"/>
    </row>
    <row r="873">
      <c r="P873" s="14"/>
      <c r="Q873" s="14"/>
      <c r="T873" s="14"/>
      <c r="U873" s="14"/>
      <c r="V873" s="14"/>
      <c r="W873" s="14"/>
    </row>
    <row r="874">
      <c r="P874" s="14"/>
      <c r="Q874" s="14"/>
      <c r="T874" s="14"/>
      <c r="U874" s="14"/>
      <c r="V874" s="14"/>
      <c r="W874" s="14"/>
    </row>
    <row r="875">
      <c r="P875" s="14"/>
      <c r="Q875" s="14"/>
      <c r="T875" s="14"/>
      <c r="U875" s="14"/>
      <c r="V875" s="14"/>
      <c r="W875" s="14"/>
    </row>
    <row r="876">
      <c r="P876" s="14"/>
      <c r="Q876" s="14"/>
      <c r="T876" s="14"/>
      <c r="U876" s="14"/>
      <c r="V876" s="14"/>
      <c r="W876" s="14"/>
    </row>
    <row r="877">
      <c r="P877" s="14"/>
      <c r="Q877" s="14"/>
      <c r="T877" s="14"/>
      <c r="U877" s="14"/>
      <c r="V877" s="14"/>
      <c r="W877" s="14"/>
    </row>
    <row r="878">
      <c r="P878" s="14"/>
      <c r="Q878" s="14"/>
      <c r="T878" s="14"/>
      <c r="U878" s="14"/>
      <c r="V878" s="14"/>
      <c r="W878" s="14"/>
    </row>
    <row r="879">
      <c r="P879" s="14"/>
      <c r="Q879" s="14"/>
      <c r="T879" s="14"/>
      <c r="U879" s="14"/>
      <c r="V879" s="14"/>
      <c r="W879" s="14"/>
    </row>
    <row r="880">
      <c r="P880" s="14"/>
      <c r="Q880" s="14"/>
      <c r="T880" s="14"/>
      <c r="U880" s="14"/>
      <c r="V880" s="14"/>
      <c r="W880" s="14"/>
    </row>
    <row r="881">
      <c r="P881" s="14"/>
      <c r="Q881" s="14"/>
      <c r="T881" s="14"/>
      <c r="U881" s="14"/>
      <c r="V881" s="14"/>
      <c r="W881" s="14"/>
    </row>
    <row r="882">
      <c r="P882" s="14"/>
      <c r="Q882" s="14"/>
      <c r="T882" s="14"/>
      <c r="U882" s="14"/>
      <c r="V882" s="14"/>
      <c r="W882" s="14"/>
    </row>
    <row r="883">
      <c r="P883" s="14"/>
      <c r="Q883" s="14"/>
      <c r="T883" s="14"/>
      <c r="U883" s="14"/>
      <c r="V883" s="14"/>
      <c r="W883" s="14"/>
    </row>
    <row r="884">
      <c r="P884" s="14"/>
      <c r="Q884" s="14"/>
      <c r="T884" s="14"/>
      <c r="U884" s="14"/>
      <c r="V884" s="14"/>
      <c r="W884" s="14"/>
    </row>
    <row r="885">
      <c r="P885" s="14"/>
      <c r="Q885" s="14"/>
      <c r="T885" s="14"/>
      <c r="U885" s="14"/>
      <c r="V885" s="14"/>
      <c r="W885" s="14"/>
    </row>
    <row r="886">
      <c r="P886" s="14"/>
      <c r="Q886" s="14"/>
      <c r="T886" s="14"/>
      <c r="U886" s="14"/>
      <c r="V886" s="14"/>
      <c r="W886" s="14"/>
    </row>
    <row r="887">
      <c r="P887" s="14"/>
      <c r="Q887" s="14"/>
      <c r="T887" s="14"/>
      <c r="U887" s="14"/>
      <c r="V887" s="14"/>
      <c r="W887" s="14"/>
    </row>
    <row r="888">
      <c r="P888" s="14"/>
      <c r="Q888" s="14"/>
      <c r="T888" s="14"/>
      <c r="U888" s="14"/>
      <c r="V888" s="14"/>
      <c r="W888" s="14"/>
    </row>
    <row r="889">
      <c r="P889" s="14"/>
      <c r="Q889" s="14"/>
      <c r="T889" s="14"/>
      <c r="U889" s="14"/>
      <c r="V889" s="14"/>
      <c r="W889" s="14"/>
    </row>
    <row r="890">
      <c r="P890" s="14"/>
      <c r="Q890" s="14"/>
      <c r="T890" s="14"/>
      <c r="U890" s="14"/>
      <c r="V890" s="14"/>
      <c r="W890" s="14"/>
    </row>
    <row r="891">
      <c r="P891" s="14"/>
      <c r="Q891" s="14"/>
      <c r="T891" s="14"/>
      <c r="U891" s="14"/>
      <c r="V891" s="14"/>
      <c r="W891" s="14"/>
    </row>
    <row r="892">
      <c r="P892" s="14"/>
      <c r="Q892" s="14"/>
      <c r="T892" s="14"/>
      <c r="U892" s="14"/>
      <c r="V892" s="14"/>
      <c r="W892" s="14"/>
    </row>
    <row r="893">
      <c r="P893" s="14"/>
      <c r="Q893" s="14"/>
      <c r="T893" s="14"/>
      <c r="U893" s="14"/>
      <c r="V893" s="14"/>
      <c r="W893" s="14"/>
    </row>
    <row r="894">
      <c r="P894" s="14"/>
      <c r="Q894" s="14"/>
      <c r="T894" s="14"/>
      <c r="U894" s="14"/>
      <c r="V894" s="14"/>
      <c r="W894" s="14"/>
    </row>
    <row r="895">
      <c r="P895" s="14"/>
      <c r="Q895" s="14"/>
      <c r="T895" s="14"/>
      <c r="U895" s="14"/>
      <c r="V895" s="14"/>
      <c r="W895" s="14"/>
    </row>
    <row r="896">
      <c r="P896" s="14"/>
      <c r="Q896" s="14"/>
      <c r="T896" s="14"/>
      <c r="U896" s="14"/>
      <c r="V896" s="14"/>
      <c r="W896" s="14"/>
    </row>
    <row r="897">
      <c r="P897" s="14"/>
      <c r="Q897" s="14"/>
      <c r="T897" s="14"/>
      <c r="U897" s="14"/>
      <c r="V897" s="14"/>
      <c r="W897" s="14"/>
    </row>
    <row r="898">
      <c r="P898" s="14"/>
      <c r="Q898" s="14"/>
      <c r="T898" s="14"/>
      <c r="U898" s="14"/>
      <c r="V898" s="14"/>
      <c r="W898" s="14"/>
    </row>
    <row r="899">
      <c r="P899" s="14"/>
      <c r="Q899" s="14"/>
      <c r="T899" s="14"/>
      <c r="U899" s="14"/>
      <c r="V899" s="14"/>
      <c r="W899" s="14"/>
    </row>
    <row r="900">
      <c r="P900" s="14"/>
      <c r="Q900" s="14"/>
      <c r="T900" s="14"/>
      <c r="U900" s="14"/>
      <c r="V900" s="14"/>
      <c r="W900" s="14"/>
    </row>
    <row r="901">
      <c r="P901" s="14"/>
      <c r="Q901" s="14"/>
      <c r="T901" s="14"/>
      <c r="U901" s="14"/>
      <c r="V901" s="14"/>
      <c r="W901" s="14"/>
    </row>
    <row r="902">
      <c r="P902" s="14"/>
      <c r="Q902" s="14"/>
      <c r="T902" s="14"/>
      <c r="U902" s="14"/>
      <c r="V902" s="14"/>
      <c r="W902" s="14"/>
    </row>
    <row r="903">
      <c r="P903" s="14"/>
      <c r="Q903" s="14"/>
      <c r="T903" s="14"/>
      <c r="U903" s="14"/>
      <c r="V903" s="14"/>
      <c r="W903" s="14"/>
    </row>
    <row r="904">
      <c r="P904" s="14"/>
      <c r="Q904" s="14"/>
      <c r="T904" s="14"/>
      <c r="U904" s="14"/>
      <c r="V904" s="14"/>
      <c r="W904" s="14"/>
    </row>
    <row r="905">
      <c r="P905" s="14"/>
      <c r="Q905" s="14"/>
      <c r="T905" s="14"/>
      <c r="U905" s="14"/>
      <c r="V905" s="14"/>
      <c r="W905" s="14"/>
    </row>
    <row r="906">
      <c r="P906" s="14"/>
      <c r="Q906" s="14"/>
      <c r="T906" s="14"/>
      <c r="U906" s="14"/>
      <c r="V906" s="14"/>
      <c r="W906" s="14"/>
    </row>
    <row r="907">
      <c r="P907" s="14"/>
      <c r="Q907" s="14"/>
      <c r="T907" s="14"/>
      <c r="U907" s="14"/>
      <c r="V907" s="14"/>
      <c r="W907" s="14"/>
    </row>
    <row r="908">
      <c r="P908" s="14"/>
      <c r="Q908" s="14"/>
      <c r="T908" s="14"/>
      <c r="U908" s="14"/>
      <c r="V908" s="14"/>
      <c r="W908" s="14"/>
    </row>
    <row r="909">
      <c r="P909" s="14"/>
      <c r="Q909" s="14"/>
      <c r="T909" s="14"/>
      <c r="U909" s="14"/>
      <c r="V909" s="14"/>
      <c r="W909" s="14"/>
    </row>
    <row r="910">
      <c r="P910" s="14"/>
      <c r="Q910" s="14"/>
      <c r="T910" s="14"/>
      <c r="U910" s="14"/>
      <c r="V910" s="14"/>
      <c r="W910" s="14"/>
    </row>
    <row r="911">
      <c r="P911" s="14"/>
      <c r="Q911" s="14"/>
      <c r="T911" s="14"/>
      <c r="U911" s="14"/>
      <c r="V911" s="14"/>
      <c r="W911" s="14"/>
    </row>
    <row r="912">
      <c r="P912" s="14"/>
      <c r="Q912" s="14"/>
      <c r="T912" s="14"/>
      <c r="U912" s="14"/>
      <c r="V912" s="14"/>
      <c r="W912" s="14"/>
    </row>
    <row r="913">
      <c r="P913" s="14"/>
      <c r="Q913" s="14"/>
      <c r="T913" s="14"/>
      <c r="U913" s="14"/>
      <c r="V913" s="14"/>
      <c r="W913" s="14"/>
    </row>
    <row r="914">
      <c r="P914" s="14"/>
      <c r="Q914" s="14"/>
      <c r="T914" s="14"/>
      <c r="U914" s="14"/>
      <c r="V914" s="14"/>
      <c r="W914" s="14"/>
    </row>
    <row r="915">
      <c r="P915" s="14"/>
      <c r="Q915" s="14"/>
      <c r="T915" s="14"/>
      <c r="U915" s="14"/>
      <c r="V915" s="14"/>
      <c r="W915" s="14"/>
    </row>
    <row r="916">
      <c r="P916" s="14"/>
      <c r="Q916" s="14"/>
      <c r="T916" s="14"/>
      <c r="U916" s="14"/>
      <c r="V916" s="14"/>
      <c r="W916" s="14"/>
    </row>
    <row r="917">
      <c r="P917" s="14"/>
      <c r="Q917" s="14"/>
      <c r="T917" s="14"/>
      <c r="U917" s="14"/>
      <c r="V917" s="14"/>
      <c r="W917" s="14"/>
    </row>
    <row r="918">
      <c r="P918" s="14"/>
      <c r="Q918" s="14"/>
      <c r="T918" s="14"/>
      <c r="U918" s="14"/>
      <c r="V918" s="14"/>
      <c r="W918" s="14"/>
    </row>
    <row r="919">
      <c r="P919" s="14"/>
      <c r="Q919" s="14"/>
      <c r="T919" s="14"/>
      <c r="U919" s="14"/>
      <c r="V919" s="14"/>
      <c r="W919" s="14"/>
    </row>
    <row r="920">
      <c r="P920" s="14"/>
      <c r="Q920" s="14"/>
      <c r="T920" s="14"/>
      <c r="U920" s="14"/>
      <c r="V920" s="14"/>
      <c r="W920" s="14"/>
    </row>
    <row r="921">
      <c r="P921" s="14"/>
      <c r="Q921" s="14"/>
      <c r="T921" s="14"/>
      <c r="U921" s="14"/>
      <c r="V921" s="14"/>
      <c r="W921" s="14"/>
    </row>
    <row r="922">
      <c r="P922" s="14"/>
      <c r="Q922" s="14"/>
      <c r="T922" s="14"/>
      <c r="U922" s="14"/>
      <c r="V922" s="14"/>
      <c r="W922" s="14"/>
    </row>
    <row r="923">
      <c r="P923" s="14"/>
      <c r="Q923" s="14"/>
      <c r="T923" s="14"/>
      <c r="U923" s="14"/>
      <c r="V923" s="14"/>
      <c r="W923" s="14"/>
    </row>
    <row r="924">
      <c r="P924" s="14"/>
      <c r="Q924" s="14"/>
      <c r="T924" s="14"/>
      <c r="U924" s="14"/>
      <c r="V924" s="14"/>
      <c r="W924" s="14"/>
    </row>
    <row r="925">
      <c r="P925" s="14"/>
      <c r="Q925" s="14"/>
      <c r="T925" s="14"/>
      <c r="U925" s="14"/>
      <c r="V925" s="14"/>
      <c r="W925" s="14"/>
    </row>
    <row r="926">
      <c r="P926" s="14"/>
      <c r="Q926" s="14"/>
      <c r="T926" s="14"/>
      <c r="U926" s="14"/>
      <c r="V926" s="14"/>
      <c r="W926" s="14"/>
    </row>
    <row r="927">
      <c r="P927" s="14"/>
      <c r="Q927" s="14"/>
      <c r="T927" s="14"/>
      <c r="U927" s="14"/>
      <c r="V927" s="14"/>
      <c r="W927" s="14"/>
    </row>
    <row r="928">
      <c r="P928" s="14"/>
      <c r="Q928" s="14"/>
      <c r="T928" s="14"/>
      <c r="U928" s="14"/>
      <c r="V928" s="14"/>
      <c r="W928" s="14"/>
    </row>
    <row r="929">
      <c r="P929" s="14"/>
      <c r="Q929" s="14"/>
      <c r="T929" s="14"/>
      <c r="U929" s="14"/>
      <c r="V929" s="14"/>
      <c r="W929" s="14"/>
    </row>
    <row r="930">
      <c r="P930" s="14"/>
      <c r="Q930" s="14"/>
      <c r="T930" s="14"/>
      <c r="U930" s="14"/>
      <c r="V930" s="14"/>
      <c r="W930" s="14"/>
    </row>
    <row r="931">
      <c r="P931" s="14"/>
      <c r="Q931" s="14"/>
      <c r="T931" s="14"/>
      <c r="U931" s="14"/>
      <c r="V931" s="14"/>
      <c r="W931" s="14"/>
    </row>
    <row r="932">
      <c r="P932" s="14"/>
      <c r="Q932" s="14"/>
      <c r="T932" s="14"/>
      <c r="U932" s="14"/>
      <c r="V932" s="14"/>
      <c r="W932" s="14"/>
    </row>
    <row r="933">
      <c r="P933" s="14"/>
      <c r="Q933" s="14"/>
      <c r="T933" s="14"/>
      <c r="U933" s="14"/>
      <c r="V933" s="14"/>
      <c r="W933" s="14"/>
    </row>
    <row r="934">
      <c r="P934" s="14"/>
      <c r="Q934" s="14"/>
      <c r="T934" s="14"/>
      <c r="U934" s="14"/>
      <c r="V934" s="14"/>
      <c r="W934" s="14"/>
    </row>
    <row r="935">
      <c r="P935" s="14"/>
      <c r="Q935" s="14"/>
      <c r="T935" s="14"/>
      <c r="U935" s="14"/>
      <c r="V935" s="14"/>
      <c r="W935" s="14"/>
    </row>
    <row r="936">
      <c r="P936" s="14"/>
      <c r="Q936" s="14"/>
      <c r="T936" s="14"/>
      <c r="U936" s="14"/>
      <c r="V936" s="14"/>
      <c r="W936" s="14"/>
    </row>
    <row r="937">
      <c r="P937" s="14"/>
      <c r="Q937" s="14"/>
      <c r="T937" s="14"/>
      <c r="U937" s="14"/>
      <c r="V937" s="14"/>
      <c r="W937" s="14"/>
    </row>
    <row r="938">
      <c r="P938" s="14"/>
      <c r="Q938" s="14"/>
      <c r="T938" s="14"/>
      <c r="U938" s="14"/>
      <c r="V938" s="14"/>
      <c r="W938" s="14"/>
    </row>
    <row r="939">
      <c r="P939" s="14"/>
      <c r="Q939" s="14"/>
      <c r="T939" s="14"/>
      <c r="U939" s="14"/>
      <c r="V939" s="14"/>
      <c r="W939" s="14"/>
    </row>
    <row r="940">
      <c r="P940" s="14"/>
      <c r="Q940" s="14"/>
      <c r="T940" s="14"/>
      <c r="U940" s="14"/>
      <c r="V940" s="14"/>
      <c r="W940" s="14"/>
    </row>
    <row r="941">
      <c r="P941" s="14"/>
      <c r="Q941" s="14"/>
      <c r="T941" s="14"/>
      <c r="U941" s="14"/>
      <c r="V941" s="14"/>
      <c r="W941" s="14"/>
    </row>
    <row r="942">
      <c r="P942" s="14"/>
      <c r="Q942" s="14"/>
      <c r="T942" s="14"/>
      <c r="U942" s="14"/>
      <c r="V942" s="14"/>
      <c r="W942" s="14"/>
    </row>
    <row r="943">
      <c r="P943" s="14"/>
      <c r="Q943" s="14"/>
      <c r="T943" s="14"/>
      <c r="U943" s="14"/>
      <c r="V943" s="14"/>
      <c r="W943" s="14"/>
    </row>
    <row r="944">
      <c r="P944" s="14"/>
      <c r="Q944" s="14"/>
      <c r="T944" s="14"/>
      <c r="U944" s="14"/>
      <c r="V944" s="14"/>
      <c r="W944" s="14"/>
    </row>
    <row r="945">
      <c r="P945" s="14"/>
      <c r="Q945" s="14"/>
      <c r="T945" s="14"/>
      <c r="U945" s="14"/>
      <c r="V945" s="14"/>
      <c r="W945" s="14"/>
    </row>
    <row r="946">
      <c r="P946" s="14"/>
      <c r="Q946" s="14"/>
      <c r="T946" s="14"/>
      <c r="U946" s="14"/>
      <c r="V946" s="14"/>
      <c r="W946" s="14"/>
    </row>
    <row r="947">
      <c r="P947" s="14"/>
      <c r="Q947" s="14"/>
      <c r="T947" s="14"/>
      <c r="U947" s="14"/>
      <c r="V947" s="14"/>
      <c r="W947" s="14"/>
    </row>
    <row r="948">
      <c r="P948" s="14"/>
      <c r="Q948" s="14"/>
      <c r="T948" s="14"/>
      <c r="U948" s="14"/>
      <c r="V948" s="14"/>
      <c r="W948" s="14"/>
    </row>
    <row r="949">
      <c r="P949" s="14"/>
      <c r="Q949" s="14"/>
      <c r="T949" s="14"/>
      <c r="U949" s="14"/>
      <c r="V949" s="14"/>
      <c r="W949" s="14"/>
    </row>
    <row r="950">
      <c r="P950" s="14"/>
      <c r="Q950" s="14"/>
      <c r="T950" s="14"/>
      <c r="U950" s="14"/>
      <c r="V950" s="14"/>
      <c r="W950" s="14"/>
    </row>
    <row r="951">
      <c r="P951" s="14"/>
      <c r="Q951" s="14"/>
      <c r="T951" s="14"/>
      <c r="U951" s="14"/>
      <c r="V951" s="14"/>
      <c r="W951" s="14"/>
    </row>
    <row r="952">
      <c r="P952" s="14"/>
      <c r="Q952" s="14"/>
      <c r="T952" s="14"/>
      <c r="U952" s="14"/>
      <c r="V952" s="14"/>
      <c r="W952" s="14"/>
    </row>
    <row r="953">
      <c r="P953" s="14"/>
      <c r="Q953" s="14"/>
      <c r="T953" s="14"/>
      <c r="U953" s="14"/>
      <c r="V953" s="14"/>
      <c r="W953" s="14"/>
    </row>
    <row r="954">
      <c r="P954" s="14"/>
      <c r="Q954" s="14"/>
      <c r="T954" s="14"/>
      <c r="U954" s="14"/>
      <c r="V954" s="14"/>
      <c r="W954" s="14"/>
    </row>
    <row r="955">
      <c r="P955" s="14"/>
      <c r="Q955" s="14"/>
      <c r="T955" s="14"/>
      <c r="U955" s="14"/>
      <c r="V955" s="14"/>
      <c r="W955" s="14"/>
    </row>
    <row r="956">
      <c r="P956" s="14"/>
      <c r="Q956" s="14"/>
      <c r="T956" s="14"/>
      <c r="U956" s="14"/>
      <c r="V956" s="14"/>
      <c r="W956" s="14"/>
    </row>
    <row r="957">
      <c r="P957" s="14"/>
      <c r="Q957" s="14"/>
      <c r="T957" s="14"/>
      <c r="U957" s="14"/>
      <c r="V957" s="14"/>
      <c r="W957" s="14"/>
    </row>
    <row r="958">
      <c r="P958" s="14"/>
      <c r="Q958" s="14"/>
      <c r="T958" s="14"/>
      <c r="U958" s="14"/>
      <c r="V958" s="14"/>
      <c r="W958" s="14"/>
    </row>
    <row r="959">
      <c r="P959" s="14"/>
      <c r="Q959" s="14"/>
      <c r="T959" s="14"/>
      <c r="U959" s="14"/>
      <c r="V959" s="14"/>
      <c r="W959" s="14"/>
    </row>
    <row r="960">
      <c r="P960" s="14"/>
      <c r="Q960" s="14"/>
      <c r="T960" s="14"/>
      <c r="U960" s="14"/>
      <c r="V960" s="14"/>
      <c r="W960" s="14"/>
    </row>
    <row r="961">
      <c r="P961" s="14"/>
      <c r="Q961" s="14"/>
      <c r="T961" s="14"/>
      <c r="U961" s="14"/>
      <c r="V961" s="14"/>
      <c r="W961" s="14"/>
    </row>
    <row r="962">
      <c r="P962" s="14"/>
      <c r="Q962" s="14"/>
      <c r="T962" s="14"/>
      <c r="U962" s="14"/>
      <c r="V962" s="14"/>
      <c r="W962" s="14"/>
    </row>
    <row r="963">
      <c r="P963" s="14"/>
      <c r="Q963" s="14"/>
      <c r="T963" s="14"/>
      <c r="U963" s="14"/>
      <c r="V963" s="14"/>
      <c r="W963" s="14"/>
    </row>
    <row r="964">
      <c r="P964" s="14"/>
      <c r="Q964" s="14"/>
      <c r="T964" s="14"/>
      <c r="U964" s="14"/>
      <c r="V964" s="14"/>
      <c r="W964" s="14"/>
    </row>
    <row r="965">
      <c r="P965" s="14"/>
      <c r="Q965" s="14"/>
      <c r="T965" s="14"/>
      <c r="U965" s="14"/>
      <c r="V965" s="14"/>
      <c r="W965" s="14"/>
    </row>
    <row r="966">
      <c r="P966" s="14"/>
      <c r="Q966" s="14"/>
      <c r="T966" s="14"/>
      <c r="U966" s="14"/>
      <c r="V966" s="14"/>
      <c r="W966" s="14"/>
    </row>
    <row r="967">
      <c r="P967" s="14"/>
      <c r="Q967" s="14"/>
      <c r="T967" s="14"/>
      <c r="U967" s="14"/>
      <c r="V967" s="14"/>
      <c r="W967" s="14"/>
    </row>
    <row r="968">
      <c r="P968" s="14"/>
      <c r="Q968" s="14"/>
      <c r="T968" s="14"/>
      <c r="U968" s="14"/>
      <c r="V968" s="14"/>
      <c r="W968" s="14"/>
    </row>
    <row r="969">
      <c r="P969" s="14"/>
      <c r="Q969" s="14"/>
      <c r="T969" s="14"/>
      <c r="U969" s="14"/>
      <c r="V969" s="14"/>
      <c r="W969" s="14"/>
    </row>
    <row r="970">
      <c r="P970" s="14"/>
      <c r="Q970" s="14"/>
      <c r="T970" s="14"/>
      <c r="U970" s="14"/>
      <c r="V970" s="14"/>
      <c r="W970" s="14"/>
    </row>
    <row r="971">
      <c r="P971" s="14"/>
      <c r="Q971" s="14"/>
      <c r="T971" s="14"/>
      <c r="U971" s="14"/>
      <c r="V971" s="14"/>
      <c r="W971" s="14"/>
    </row>
    <row r="972">
      <c r="P972" s="14"/>
      <c r="Q972" s="14"/>
      <c r="T972" s="14"/>
      <c r="U972" s="14"/>
      <c r="V972" s="14"/>
      <c r="W972" s="14"/>
    </row>
    <row r="973">
      <c r="P973" s="14"/>
      <c r="Q973" s="14"/>
      <c r="T973" s="14"/>
      <c r="U973" s="14"/>
      <c r="V973" s="14"/>
      <c r="W973" s="14"/>
    </row>
    <row r="974">
      <c r="P974" s="14"/>
      <c r="Q974" s="14"/>
      <c r="T974" s="14"/>
      <c r="U974" s="14"/>
      <c r="V974" s="14"/>
      <c r="W974" s="14"/>
    </row>
    <row r="975">
      <c r="P975" s="14"/>
      <c r="Q975" s="14"/>
      <c r="T975" s="14"/>
      <c r="U975" s="14"/>
      <c r="V975" s="14"/>
      <c r="W975" s="14"/>
    </row>
    <row r="976">
      <c r="P976" s="14"/>
      <c r="Q976" s="14"/>
      <c r="T976" s="14"/>
      <c r="U976" s="14"/>
      <c r="V976" s="14"/>
      <c r="W976" s="14"/>
    </row>
    <row r="977">
      <c r="P977" s="14"/>
      <c r="Q977" s="14"/>
      <c r="T977" s="14"/>
      <c r="U977" s="14"/>
      <c r="V977" s="14"/>
      <c r="W977" s="14"/>
    </row>
    <row r="978">
      <c r="P978" s="14"/>
      <c r="Q978" s="14"/>
      <c r="T978" s="14"/>
      <c r="U978" s="14"/>
      <c r="V978" s="14"/>
      <c r="W978" s="14"/>
    </row>
    <row r="979">
      <c r="P979" s="14"/>
      <c r="Q979" s="14"/>
      <c r="T979" s="14"/>
      <c r="U979" s="14"/>
      <c r="V979" s="14"/>
      <c r="W979" s="14"/>
    </row>
    <row r="980">
      <c r="P980" s="14"/>
      <c r="Q980" s="14"/>
      <c r="T980" s="14"/>
      <c r="U980" s="14"/>
      <c r="V980" s="14"/>
      <c r="W980" s="14"/>
    </row>
    <row r="981">
      <c r="P981" s="14"/>
      <c r="Q981" s="14"/>
      <c r="T981" s="14"/>
      <c r="U981" s="14"/>
      <c r="V981" s="14"/>
      <c r="W981" s="14"/>
    </row>
    <row r="982">
      <c r="P982" s="14"/>
      <c r="Q982" s="14"/>
      <c r="T982" s="14"/>
      <c r="U982" s="14"/>
      <c r="V982" s="14"/>
      <c r="W982" s="14"/>
    </row>
    <row r="983">
      <c r="P983" s="14"/>
      <c r="Q983" s="14"/>
      <c r="T983" s="14"/>
      <c r="U983" s="14"/>
      <c r="V983" s="14"/>
      <c r="W983" s="14"/>
    </row>
    <row r="984">
      <c r="P984" s="14"/>
      <c r="Q984" s="14"/>
      <c r="T984" s="14"/>
      <c r="U984" s="14"/>
      <c r="V984" s="14"/>
      <c r="W984" s="14"/>
    </row>
    <row r="985">
      <c r="P985" s="14"/>
      <c r="Q985" s="14"/>
      <c r="T985" s="14"/>
      <c r="U985" s="14"/>
      <c r="V985" s="14"/>
      <c r="W985" s="14"/>
    </row>
    <row r="986">
      <c r="P986" s="14"/>
      <c r="Q986" s="14"/>
      <c r="T986" s="14"/>
      <c r="U986" s="14"/>
      <c r="V986" s="14"/>
      <c r="W986" s="14"/>
    </row>
    <row r="987">
      <c r="P987" s="14"/>
      <c r="Q987" s="14"/>
      <c r="T987" s="14"/>
      <c r="U987" s="14"/>
      <c r="V987" s="14"/>
      <c r="W987" s="14"/>
    </row>
    <row r="988">
      <c r="P988" s="14"/>
      <c r="Q988" s="14"/>
      <c r="T988" s="14"/>
      <c r="U988" s="14"/>
      <c r="V988" s="14"/>
      <c r="W988" s="14"/>
    </row>
    <row r="989">
      <c r="P989" s="14"/>
      <c r="Q989" s="14"/>
      <c r="T989" s="14"/>
      <c r="U989" s="14"/>
      <c r="V989" s="14"/>
      <c r="W989" s="14"/>
    </row>
    <row r="990">
      <c r="P990" s="14"/>
      <c r="Q990" s="14"/>
      <c r="T990" s="14"/>
      <c r="U990" s="14"/>
      <c r="V990" s="14"/>
      <c r="W990" s="14"/>
    </row>
    <row r="991">
      <c r="P991" s="14"/>
      <c r="Q991" s="14"/>
      <c r="T991" s="14"/>
      <c r="U991" s="14"/>
      <c r="V991" s="14"/>
      <c r="W991" s="14"/>
    </row>
    <row r="992">
      <c r="P992" s="14"/>
      <c r="Q992" s="14"/>
      <c r="T992" s="14"/>
      <c r="U992" s="14"/>
      <c r="V992" s="14"/>
      <c r="W992" s="14"/>
    </row>
    <row r="993">
      <c r="P993" s="14"/>
      <c r="Q993" s="14"/>
      <c r="T993" s="14"/>
      <c r="U993" s="14"/>
      <c r="V993" s="14"/>
      <c r="W993" s="14"/>
    </row>
    <row r="994">
      <c r="P994" s="14"/>
      <c r="Q994" s="14"/>
      <c r="T994" s="14"/>
      <c r="U994" s="14"/>
      <c r="V994" s="14"/>
      <c r="W994" s="14"/>
    </row>
    <row r="995">
      <c r="P995" s="14"/>
      <c r="Q995" s="14"/>
      <c r="T995" s="14"/>
      <c r="U995" s="14"/>
      <c r="V995" s="14"/>
      <c r="W995" s="14"/>
    </row>
    <row r="996">
      <c r="P996" s="14"/>
      <c r="Q996" s="14"/>
      <c r="T996" s="14"/>
      <c r="U996" s="14"/>
      <c r="V996" s="14"/>
      <c r="W996" s="14"/>
    </row>
    <row r="997">
      <c r="P997" s="14"/>
      <c r="Q997" s="14"/>
      <c r="T997" s="14"/>
      <c r="U997" s="14"/>
      <c r="V997" s="14"/>
      <c r="W997" s="14"/>
    </row>
    <row r="998">
      <c r="P998" s="14"/>
      <c r="Q998" s="14"/>
      <c r="T998" s="14"/>
      <c r="U998" s="14"/>
      <c r="V998" s="14"/>
      <c r="W998" s="14"/>
    </row>
    <row r="999">
      <c r="P999" s="14"/>
      <c r="Q999" s="14"/>
      <c r="T999" s="14"/>
      <c r="U999" s="14"/>
      <c r="V999" s="14"/>
      <c r="W999" s="14"/>
    </row>
    <row r="1000">
      <c r="P1000" s="14"/>
      <c r="Q1000" s="14"/>
      <c r="T1000" s="14"/>
      <c r="U1000" s="14"/>
      <c r="V1000" s="14"/>
      <c r="W1000"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0.25"/>
  </cols>
  <sheetData>
    <row r="1">
      <c r="A1" s="1" t="s">
        <v>0</v>
      </c>
      <c r="B1" s="1" t="s">
        <v>2</v>
      </c>
      <c r="C1" s="1" t="s">
        <v>3</v>
      </c>
      <c r="D1" s="1" t="s">
        <v>4</v>
      </c>
      <c r="E1" s="1" t="s">
        <v>5</v>
      </c>
      <c r="F1" s="1" t="s">
        <v>6</v>
      </c>
      <c r="G1" s="1" t="s">
        <v>7</v>
      </c>
      <c r="H1" s="1" t="s">
        <v>8</v>
      </c>
      <c r="I1" s="3" t="s">
        <v>11</v>
      </c>
      <c r="J1" s="1" t="s">
        <v>12</v>
      </c>
      <c r="K1" s="1" t="s">
        <v>14</v>
      </c>
      <c r="L1" s="1" t="s">
        <v>15</v>
      </c>
      <c r="M1" s="1" t="s">
        <v>17</v>
      </c>
      <c r="N1" s="1" t="s">
        <v>19</v>
      </c>
      <c r="O1" s="1" t="s">
        <v>21</v>
      </c>
      <c r="P1" s="1" t="s">
        <v>19</v>
      </c>
      <c r="Q1" s="1" t="s">
        <v>23</v>
      </c>
      <c r="R1" s="1" t="s">
        <v>24</v>
      </c>
      <c r="S1" s="1" t="s">
        <v>25</v>
      </c>
      <c r="T1" s="4" t="s">
        <v>26</v>
      </c>
      <c r="U1" s="4" t="s">
        <v>27</v>
      </c>
      <c r="V1" s="4" t="s">
        <v>28</v>
      </c>
      <c r="W1" s="4" t="s">
        <v>29</v>
      </c>
      <c r="X1" s="5"/>
      <c r="Y1" s="5"/>
      <c r="Z1" s="5"/>
    </row>
    <row r="2">
      <c r="A2" s="6" t="s">
        <v>30</v>
      </c>
      <c r="B2" s="6" t="s">
        <v>33</v>
      </c>
      <c r="C2" s="6" t="s">
        <v>34</v>
      </c>
      <c r="D2" s="6" t="s">
        <v>35</v>
      </c>
      <c r="E2" s="6" t="s">
        <v>36</v>
      </c>
      <c r="F2" s="6" t="s">
        <v>37</v>
      </c>
      <c r="G2" s="6" t="s">
        <v>39</v>
      </c>
      <c r="H2" s="7" t="s">
        <v>42</v>
      </c>
      <c r="I2" s="7" t="s">
        <v>44</v>
      </c>
      <c r="J2" s="7" t="s">
        <v>46</v>
      </c>
      <c r="K2" s="7" t="s">
        <v>47</v>
      </c>
      <c r="L2" s="8">
        <v>0.0</v>
      </c>
      <c r="M2" s="8" t="s">
        <v>49</v>
      </c>
      <c r="N2" s="8">
        <v>0.0</v>
      </c>
      <c r="O2" s="8" t="s">
        <v>50</v>
      </c>
      <c r="P2" s="10">
        <v>0.0</v>
      </c>
      <c r="Q2" s="5" t="s">
        <v>53</v>
      </c>
      <c r="R2" s="8">
        <v>0.0</v>
      </c>
      <c r="S2" s="8" t="s">
        <v>55</v>
      </c>
      <c r="T2" s="11">
        <v>0.466</v>
      </c>
      <c r="U2" s="11">
        <v>0.183</v>
      </c>
      <c r="V2" s="11">
        <v>0.034</v>
      </c>
      <c r="W2" s="11">
        <v>0.15</v>
      </c>
    </row>
    <row r="3">
      <c r="A3" s="6" t="s">
        <v>57</v>
      </c>
      <c r="B3" s="6" t="s">
        <v>58</v>
      </c>
      <c r="C3" s="6" t="s">
        <v>59</v>
      </c>
      <c r="D3" s="6" t="s">
        <v>60</v>
      </c>
      <c r="E3" s="6" t="s">
        <v>61</v>
      </c>
      <c r="F3" s="6" t="s">
        <v>62</v>
      </c>
      <c r="G3" s="6" t="s">
        <v>63</v>
      </c>
      <c r="H3" s="7" t="s">
        <v>65</v>
      </c>
      <c r="I3" s="7" t="s">
        <v>67</v>
      </c>
      <c r="J3" s="7" t="s">
        <v>46</v>
      </c>
      <c r="K3" s="7" t="s">
        <v>47</v>
      </c>
      <c r="L3" s="8">
        <v>0.0</v>
      </c>
      <c r="M3" s="8" t="s">
        <v>49</v>
      </c>
      <c r="N3" s="8">
        <v>0.0</v>
      </c>
      <c r="O3" s="8" t="s">
        <v>50</v>
      </c>
      <c r="P3" s="10">
        <v>0.0</v>
      </c>
      <c r="Q3" s="5" t="s">
        <v>53</v>
      </c>
      <c r="R3" s="8">
        <v>0.0</v>
      </c>
      <c r="S3" s="8" t="s">
        <v>55</v>
      </c>
      <c r="T3" s="11">
        <v>0.52</v>
      </c>
      <c r="U3" s="11">
        <v>0.21</v>
      </c>
      <c r="V3" s="11">
        <v>0.058</v>
      </c>
      <c r="W3" s="11">
        <v>0.133</v>
      </c>
    </row>
    <row r="4">
      <c r="A4" s="6" t="s">
        <v>74</v>
      </c>
      <c r="B4" s="6" t="s">
        <v>76</v>
      </c>
      <c r="C4" s="6" t="s">
        <v>77</v>
      </c>
      <c r="D4" s="6" t="s">
        <v>78</v>
      </c>
      <c r="E4" s="6" t="s">
        <v>79</v>
      </c>
      <c r="F4" s="6" t="s">
        <v>80</v>
      </c>
      <c r="G4" s="6" t="s">
        <v>63</v>
      </c>
      <c r="H4" s="7" t="s">
        <v>81</v>
      </c>
      <c r="I4" s="7" t="s">
        <v>82</v>
      </c>
      <c r="J4" s="7" t="s">
        <v>46</v>
      </c>
      <c r="K4" s="7" t="s">
        <v>47</v>
      </c>
      <c r="L4" s="8">
        <v>0.0</v>
      </c>
      <c r="M4" s="8" t="s">
        <v>49</v>
      </c>
      <c r="N4" s="8">
        <v>0.0</v>
      </c>
      <c r="O4" s="8" t="s">
        <v>50</v>
      </c>
      <c r="P4" s="10">
        <v>0.0</v>
      </c>
      <c r="Q4" s="5" t="s">
        <v>53</v>
      </c>
      <c r="R4" s="8">
        <v>0.0</v>
      </c>
      <c r="S4" s="8" t="s">
        <v>55</v>
      </c>
      <c r="T4" s="11">
        <v>0.546</v>
      </c>
      <c r="U4" s="11">
        <v>0.2</v>
      </c>
      <c r="V4" s="11">
        <v>0.077</v>
      </c>
      <c r="W4" s="11">
        <v>0.2</v>
      </c>
    </row>
    <row r="5">
      <c r="A5" s="6" t="s">
        <v>92</v>
      </c>
      <c r="B5" s="6" t="s">
        <v>93</v>
      </c>
      <c r="C5" s="6" t="s">
        <v>94</v>
      </c>
      <c r="D5" s="6" t="s">
        <v>96</v>
      </c>
      <c r="E5" s="6" t="s">
        <v>97</v>
      </c>
      <c r="F5" s="6" t="s">
        <v>98</v>
      </c>
      <c r="G5" s="6" t="s">
        <v>39</v>
      </c>
      <c r="H5" s="7" t="s">
        <v>99</v>
      </c>
      <c r="I5" s="7" t="s">
        <v>100</v>
      </c>
      <c r="J5" s="7" t="s">
        <v>46</v>
      </c>
      <c r="K5" s="7" t="s">
        <v>47</v>
      </c>
      <c r="L5" s="8">
        <v>2.0</v>
      </c>
      <c r="M5" s="8" t="s">
        <v>102</v>
      </c>
      <c r="N5" s="8">
        <v>2.0</v>
      </c>
      <c r="O5" s="8" t="s">
        <v>104</v>
      </c>
      <c r="P5" s="10">
        <v>2.0</v>
      </c>
      <c r="Q5" s="5" t="s">
        <v>108</v>
      </c>
      <c r="R5" s="8">
        <v>2.0</v>
      </c>
      <c r="S5" s="8" t="s">
        <v>109</v>
      </c>
      <c r="T5" s="11">
        <v>0.407</v>
      </c>
      <c r="U5" s="11">
        <v>0.152</v>
      </c>
      <c r="V5" s="11">
        <v>0.052</v>
      </c>
      <c r="W5" s="11">
        <v>0.101</v>
      </c>
    </row>
    <row r="6">
      <c r="A6" s="6" t="s">
        <v>112</v>
      </c>
      <c r="B6" s="6" t="s">
        <v>114</v>
      </c>
      <c r="C6" s="6" t="s">
        <v>116</v>
      </c>
      <c r="D6" s="6" t="s">
        <v>117</v>
      </c>
      <c r="E6" s="6" t="s">
        <v>119</v>
      </c>
      <c r="F6" s="6" t="s">
        <v>120</v>
      </c>
      <c r="G6" s="6" t="s">
        <v>63</v>
      </c>
      <c r="H6" s="7" t="s">
        <v>122</v>
      </c>
      <c r="I6" s="7" t="s">
        <v>123</v>
      </c>
      <c r="J6" s="7" t="s">
        <v>46</v>
      </c>
      <c r="K6" s="7" t="s">
        <v>47</v>
      </c>
      <c r="L6" s="8">
        <v>0.0</v>
      </c>
      <c r="M6" s="8" t="s">
        <v>49</v>
      </c>
      <c r="N6" s="8">
        <v>0.0</v>
      </c>
      <c r="O6" s="8" t="s">
        <v>50</v>
      </c>
      <c r="P6" s="10">
        <v>0.0</v>
      </c>
      <c r="Q6" s="5" t="s">
        <v>53</v>
      </c>
      <c r="R6" s="8">
        <v>0.0</v>
      </c>
      <c r="S6" s="8" t="s">
        <v>55</v>
      </c>
      <c r="T6" s="11">
        <v>0.47</v>
      </c>
      <c r="U6" s="11">
        <v>0.245</v>
      </c>
      <c r="V6" s="11">
        <v>0.038</v>
      </c>
      <c r="W6" s="11">
        <v>0.17</v>
      </c>
    </row>
    <row r="7">
      <c r="A7" s="6" t="s">
        <v>138</v>
      </c>
      <c r="B7" s="6" t="s">
        <v>139</v>
      </c>
      <c r="C7" s="6" t="s">
        <v>140</v>
      </c>
      <c r="D7" s="6" t="s">
        <v>141</v>
      </c>
      <c r="E7" s="6" t="s">
        <v>143</v>
      </c>
      <c r="F7" s="6" t="s">
        <v>145</v>
      </c>
      <c r="G7" s="6" t="s">
        <v>63</v>
      </c>
      <c r="H7" s="7" t="s">
        <v>149</v>
      </c>
      <c r="I7" s="7" t="s">
        <v>151</v>
      </c>
      <c r="J7" s="7" t="s">
        <v>46</v>
      </c>
      <c r="K7" s="7" t="s">
        <v>47</v>
      </c>
      <c r="L7" s="8">
        <v>0.0</v>
      </c>
      <c r="M7" s="8" t="s">
        <v>49</v>
      </c>
      <c r="N7" s="8">
        <v>0.0</v>
      </c>
      <c r="O7" s="8" t="s">
        <v>50</v>
      </c>
      <c r="P7" s="10">
        <v>0.0</v>
      </c>
      <c r="Q7" s="5" t="s">
        <v>53</v>
      </c>
      <c r="R7" s="8">
        <v>0.0</v>
      </c>
      <c r="S7" s="8" t="s">
        <v>55</v>
      </c>
      <c r="T7" s="11">
        <v>0.475</v>
      </c>
      <c r="U7" s="11">
        <v>0.188</v>
      </c>
      <c r="V7" s="11">
        <v>0.056</v>
      </c>
      <c r="W7" s="11">
        <v>0.144</v>
      </c>
    </row>
    <row r="8">
      <c r="A8" s="6" t="s">
        <v>157</v>
      </c>
      <c r="B8" s="6" t="s">
        <v>158</v>
      </c>
      <c r="C8" s="6" t="s">
        <v>160</v>
      </c>
      <c r="D8" s="6" t="s">
        <v>162</v>
      </c>
      <c r="E8" s="6" t="s">
        <v>164</v>
      </c>
      <c r="F8" s="6" t="s">
        <v>166</v>
      </c>
      <c r="G8" s="6" t="s">
        <v>63</v>
      </c>
      <c r="H8" s="7" t="s">
        <v>169</v>
      </c>
      <c r="I8" s="7" t="s">
        <v>171</v>
      </c>
      <c r="J8" s="7" t="s">
        <v>46</v>
      </c>
      <c r="K8" s="7" t="s">
        <v>47</v>
      </c>
      <c r="L8" s="8">
        <v>0.0</v>
      </c>
      <c r="M8" s="8" t="s">
        <v>49</v>
      </c>
      <c r="N8" s="8">
        <v>0.0</v>
      </c>
      <c r="O8" s="8" t="s">
        <v>50</v>
      </c>
      <c r="P8" s="10">
        <v>0.0</v>
      </c>
      <c r="Q8" s="5" t="s">
        <v>53</v>
      </c>
      <c r="R8" s="8">
        <v>0.0</v>
      </c>
      <c r="S8" s="8" t="s">
        <v>55</v>
      </c>
      <c r="T8" s="11">
        <v>0.545</v>
      </c>
      <c r="U8" s="11">
        <v>0.22</v>
      </c>
      <c r="V8" s="11">
        <v>0.05</v>
      </c>
      <c r="W8" s="11">
        <v>0.195</v>
      </c>
    </row>
    <row r="9">
      <c r="A9" s="6" t="s">
        <v>175</v>
      </c>
      <c r="B9" s="6" t="s">
        <v>176</v>
      </c>
      <c r="C9" s="6" t="s">
        <v>177</v>
      </c>
      <c r="D9" s="6" t="s">
        <v>178</v>
      </c>
      <c r="E9" s="6" t="s">
        <v>179</v>
      </c>
      <c r="F9" s="6" t="s">
        <v>181</v>
      </c>
      <c r="G9" s="6" t="s">
        <v>63</v>
      </c>
      <c r="H9" s="7" t="s">
        <v>184</v>
      </c>
      <c r="I9" s="7" t="s">
        <v>187</v>
      </c>
      <c r="J9" s="7" t="s">
        <v>133</v>
      </c>
      <c r="K9" s="7" t="s">
        <v>47</v>
      </c>
      <c r="L9" s="8">
        <v>2.0</v>
      </c>
      <c r="M9" s="8" t="s">
        <v>189</v>
      </c>
      <c r="N9" s="8">
        <v>4.0</v>
      </c>
      <c r="O9" s="8" t="s">
        <v>191</v>
      </c>
      <c r="P9" s="10">
        <v>4.0</v>
      </c>
      <c r="Q9" s="5" t="s">
        <v>192</v>
      </c>
      <c r="R9" s="8">
        <v>5.0</v>
      </c>
      <c r="S9" s="8" t="s">
        <v>194</v>
      </c>
      <c r="T9" s="11">
        <v>0.548</v>
      </c>
      <c r="U9" s="11">
        <v>0.26</v>
      </c>
      <c r="V9" s="11">
        <v>0.058</v>
      </c>
      <c r="W9" s="11">
        <v>0.135</v>
      </c>
    </row>
    <row r="10">
      <c r="A10" s="6" t="s">
        <v>196</v>
      </c>
      <c r="B10" s="6" t="s">
        <v>197</v>
      </c>
      <c r="C10" s="6" t="s">
        <v>198</v>
      </c>
      <c r="D10" s="6" t="s">
        <v>199</v>
      </c>
      <c r="E10" s="6" t="s">
        <v>200</v>
      </c>
      <c r="F10" s="6" t="s">
        <v>201</v>
      </c>
      <c r="G10" s="6" t="s">
        <v>63</v>
      </c>
      <c r="H10" s="7" t="s">
        <v>202</v>
      </c>
      <c r="I10" s="7" t="s">
        <v>203</v>
      </c>
      <c r="J10" s="7" t="s">
        <v>133</v>
      </c>
      <c r="K10" s="7" t="s">
        <v>47</v>
      </c>
      <c r="L10" s="8">
        <v>1.0</v>
      </c>
      <c r="M10" s="8" t="s">
        <v>206</v>
      </c>
      <c r="N10" s="8">
        <v>1.0</v>
      </c>
      <c r="O10" s="8" t="s">
        <v>208</v>
      </c>
      <c r="P10" s="10">
        <v>1.0</v>
      </c>
      <c r="Q10" s="5" t="s">
        <v>108</v>
      </c>
      <c r="R10" s="8">
        <v>0.0</v>
      </c>
      <c r="S10" s="8" t="s">
        <v>211</v>
      </c>
      <c r="T10" s="11">
        <v>0.453</v>
      </c>
      <c r="U10" s="11">
        <v>0.124</v>
      </c>
      <c r="V10" s="11">
        <v>0.042</v>
      </c>
      <c r="W10" s="11">
        <v>0.082</v>
      </c>
    </row>
    <row r="11">
      <c r="A11" s="6" t="s">
        <v>216</v>
      </c>
      <c r="B11" s="6" t="s">
        <v>217</v>
      </c>
      <c r="C11" s="6" t="s">
        <v>219</v>
      </c>
      <c r="D11" s="6" t="s">
        <v>220</v>
      </c>
      <c r="E11" s="6" t="s">
        <v>222</v>
      </c>
      <c r="F11" s="6" t="s">
        <v>223</v>
      </c>
      <c r="G11" s="6" t="s">
        <v>130</v>
      </c>
      <c r="H11" s="7" t="s">
        <v>224</v>
      </c>
      <c r="I11" s="7" t="s">
        <v>226</v>
      </c>
      <c r="J11" s="7" t="s">
        <v>133</v>
      </c>
      <c r="K11" s="7" t="s">
        <v>47</v>
      </c>
      <c r="L11" s="8">
        <v>2.0</v>
      </c>
      <c r="M11" s="8" t="s">
        <v>227</v>
      </c>
      <c r="N11" s="8">
        <v>3.0</v>
      </c>
      <c r="O11" s="8" t="s">
        <v>228</v>
      </c>
      <c r="P11" s="10">
        <v>3.0</v>
      </c>
      <c r="Q11" s="5" t="s">
        <v>229</v>
      </c>
      <c r="R11" s="8">
        <v>3.0</v>
      </c>
      <c r="S11" s="8" t="s">
        <v>230</v>
      </c>
      <c r="T11" s="11">
        <v>0.562</v>
      </c>
      <c r="U11" s="11">
        <v>0.371</v>
      </c>
      <c r="V11" s="11">
        <v>0.148</v>
      </c>
      <c r="W11" s="11">
        <v>0.258</v>
      </c>
    </row>
    <row r="12">
      <c r="A12" s="6" t="s">
        <v>236</v>
      </c>
      <c r="B12" s="6" t="s">
        <v>237</v>
      </c>
      <c r="C12" s="6" t="s">
        <v>239</v>
      </c>
      <c r="D12" s="6" t="s">
        <v>240</v>
      </c>
      <c r="E12" s="6" t="s">
        <v>242</v>
      </c>
      <c r="F12" s="6" t="s">
        <v>243</v>
      </c>
      <c r="G12" s="6" t="s">
        <v>130</v>
      </c>
      <c r="H12" s="7" t="s">
        <v>244</v>
      </c>
      <c r="I12" s="7" t="s">
        <v>246</v>
      </c>
      <c r="J12" s="7" t="s">
        <v>133</v>
      </c>
      <c r="K12" s="7" t="s">
        <v>47</v>
      </c>
      <c r="L12" s="8">
        <v>1.0</v>
      </c>
      <c r="M12" s="8" t="s">
        <v>249</v>
      </c>
      <c r="N12" s="8">
        <v>1.0</v>
      </c>
      <c r="O12" s="8" t="s">
        <v>208</v>
      </c>
      <c r="P12" s="10">
        <v>1.0</v>
      </c>
      <c r="Q12" s="5" t="s">
        <v>108</v>
      </c>
      <c r="R12" s="8">
        <v>0.0</v>
      </c>
      <c r="S12" s="8" t="s">
        <v>211</v>
      </c>
      <c r="T12" s="11">
        <v>0.45</v>
      </c>
      <c r="U12" s="11">
        <v>0.136</v>
      </c>
      <c r="V12" s="11">
        <v>0.047</v>
      </c>
      <c r="W12" s="11">
        <v>0.091</v>
      </c>
    </row>
    <row r="13">
      <c r="A13" s="6" t="s">
        <v>251</v>
      </c>
      <c r="B13" s="6" t="s">
        <v>253</v>
      </c>
      <c r="C13" s="6" t="s">
        <v>255</v>
      </c>
      <c r="D13" s="6" t="s">
        <v>257</v>
      </c>
      <c r="E13" s="6" t="s">
        <v>260</v>
      </c>
      <c r="F13" s="6" t="s">
        <v>261</v>
      </c>
      <c r="G13" s="6" t="s">
        <v>89</v>
      </c>
      <c r="H13" s="7" t="s">
        <v>263</v>
      </c>
      <c r="I13" s="7" t="s">
        <v>265</v>
      </c>
      <c r="J13" s="7" t="s">
        <v>133</v>
      </c>
      <c r="K13" s="7" t="s">
        <v>47</v>
      </c>
      <c r="L13" s="8">
        <v>0.0</v>
      </c>
      <c r="M13" s="8" t="s">
        <v>49</v>
      </c>
      <c r="N13" s="8">
        <v>0.0</v>
      </c>
      <c r="O13" s="8" t="s">
        <v>50</v>
      </c>
      <c r="P13" s="10">
        <v>0.0</v>
      </c>
      <c r="Q13" s="5" t="s">
        <v>53</v>
      </c>
      <c r="R13" s="8">
        <v>0.0</v>
      </c>
      <c r="S13" s="8" t="s">
        <v>55</v>
      </c>
      <c r="T13" s="11">
        <v>0.501</v>
      </c>
      <c r="U13" s="11">
        <v>0.24</v>
      </c>
      <c r="V13" s="11">
        <v>0.053</v>
      </c>
      <c r="W13" s="11">
        <v>0.167</v>
      </c>
    </row>
    <row r="14">
      <c r="A14" s="6" t="s">
        <v>270</v>
      </c>
      <c r="B14" s="6" t="s">
        <v>273</v>
      </c>
      <c r="C14" s="6" t="s">
        <v>275</v>
      </c>
      <c r="D14" s="6" t="s">
        <v>277</v>
      </c>
      <c r="E14" s="6" t="s">
        <v>279</v>
      </c>
      <c r="F14" s="6" t="s">
        <v>280</v>
      </c>
      <c r="G14" s="6" t="s">
        <v>89</v>
      </c>
      <c r="H14" s="7" t="s">
        <v>282</v>
      </c>
      <c r="I14" s="7" t="s">
        <v>283</v>
      </c>
      <c r="J14" s="7" t="s">
        <v>133</v>
      </c>
      <c r="K14" s="7" t="s">
        <v>47</v>
      </c>
      <c r="L14" s="8">
        <v>0.0</v>
      </c>
      <c r="M14" s="8" t="s">
        <v>49</v>
      </c>
      <c r="N14" s="8">
        <v>0.0</v>
      </c>
      <c r="O14" s="8" t="s">
        <v>50</v>
      </c>
      <c r="P14" s="10">
        <v>0.0</v>
      </c>
      <c r="Q14" s="5" t="s">
        <v>53</v>
      </c>
      <c r="R14" s="8">
        <v>0.0</v>
      </c>
      <c r="S14" s="8" t="s">
        <v>55</v>
      </c>
      <c r="T14" s="11">
        <v>0.55</v>
      </c>
      <c r="U14" s="11">
        <v>0.228</v>
      </c>
      <c r="V14" s="11">
        <v>0.104</v>
      </c>
      <c r="W14" s="11">
        <v>0.177</v>
      </c>
    </row>
    <row r="15">
      <c r="A15" s="6" t="s">
        <v>138</v>
      </c>
      <c r="B15" s="6" t="s">
        <v>288</v>
      </c>
      <c r="C15" s="6" t="s">
        <v>289</v>
      </c>
      <c r="D15" s="6" t="s">
        <v>290</v>
      </c>
      <c r="E15" s="6" t="s">
        <v>291</v>
      </c>
      <c r="F15" s="6" t="s">
        <v>292</v>
      </c>
      <c r="G15" s="6" t="s">
        <v>39</v>
      </c>
      <c r="H15" s="7" t="s">
        <v>294</v>
      </c>
      <c r="I15" s="7" t="s">
        <v>295</v>
      </c>
      <c r="J15" s="7" t="s">
        <v>133</v>
      </c>
      <c r="K15" s="7" t="s">
        <v>47</v>
      </c>
      <c r="L15" s="8">
        <v>0.0</v>
      </c>
      <c r="M15" s="8" t="s">
        <v>49</v>
      </c>
      <c r="N15" s="8">
        <v>0.0</v>
      </c>
      <c r="O15" s="8" t="s">
        <v>50</v>
      </c>
      <c r="P15" s="10">
        <v>0.0</v>
      </c>
      <c r="Q15" s="5" t="s">
        <v>53</v>
      </c>
      <c r="R15" s="8">
        <v>0.0</v>
      </c>
      <c r="S15" s="8" t="s">
        <v>55</v>
      </c>
      <c r="T15" s="11">
        <v>0.505</v>
      </c>
      <c r="U15" s="11">
        <v>0.276</v>
      </c>
      <c r="V15" s="11">
        <v>0.062</v>
      </c>
      <c r="W15" s="11">
        <v>0.173</v>
      </c>
    </row>
    <row r="16">
      <c r="A16" s="6" t="s">
        <v>302</v>
      </c>
      <c r="B16" s="6" t="s">
        <v>303</v>
      </c>
      <c r="C16" s="6" t="s">
        <v>304</v>
      </c>
      <c r="D16" s="6" t="s">
        <v>306</v>
      </c>
      <c r="E16" s="6" t="s">
        <v>308</v>
      </c>
      <c r="F16" s="6" t="s">
        <v>310</v>
      </c>
      <c r="G16" s="6" t="s">
        <v>39</v>
      </c>
      <c r="H16" s="7" t="s">
        <v>311</v>
      </c>
      <c r="I16" s="7" t="s">
        <v>312</v>
      </c>
      <c r="J16" s="7" t="s">
        <v>133</v>
      </c>
      <c r="K16" s="7" t="s">
        <v>47</v>
      </c>
      <c r="L16" s="8">
        <v>0.0</v>
      </c>
      <c r="M16" s="8" t="s">
        <v>49</v>
      </c>
      <c r="N16" s="8">
        <v>0.0</v>
      </c>
      <c r="O16" s="8" t="s">
        <v>50</v>
      </c>
      <c r="P16" s="10">
        <v>0.0</v>
      </c>
      <c r="Q16" s="5" t="s">
        <v>53</v>
      </c>
      <c r="R16" s="8">
        <v>0.0</v>
      </c>
      <c r="S16" s="8" t="s">
        <v>55</v>
      </c>
      <c r="T16" s="11">
        <v>0.485</v>
      </c>
      <c r="U16" s="11">
        <v>0.222</v>
      </c>
      <c r="V16" s="11">
        <v>0.054</v>
      </c>
      <c r="W16" s="11">
        <v>0.151</v>
      </c>
    </row>
    <row r="17">
      <c r="A17" s="17" t="s">
        <v>314</v>
      </c>
      <c r="P17" s="14"/>
      <c r="Q17" s="14"/>
      <c r="T17" s="16">
        <f t="shared" ref="T17:W17" si="1">AVERAGE(T2:T16)</f>
        <v>0.4988666667</v>
      </c>
      <c r="U17" s="16">
        <f t="shared" si="1"/>
        <v>0.217</v>
      </c>
      <c r="V17" s="16">
        <f t="shared" si="1"/>
        <v>0.0622</v>
      </c>
      <c r="W17" s="16">
        <f t="shared" si="1"/>
        <v>0.1551333333</v>
      </c>
    </row>
    <row r="18">
      <c r="A18" s="17" t="s">
        <v>333</v>
      </c>
      <c r="P18" s="14"/>
      <c r="Q18" s="14"/>
      <c r="T18" s="16">
        <f t="shared" ref="T18:W18" si="2">MAX(T2:T16)</f>
        <v>0.562</v>
      </c>
      <c r="U18" s="16">
        <f t="shared" si="2"/>
        <v>0.371</v>
      </c>
      <c r="V18" s="16">
        <f t="shared" si="2"/>
        <v>0.148</v>
      </c>
      <c r="W18" s="16">
        <f t="shared" si="2"/>
        <v>0.258</v>
      </c>
    </row>
    <row r="19">
      <c r="A19" s="17" t="s">
        <v>334</v>
      </c>
      <c r="P19" s="14"/>
      <c r="Q19" s="14"/>
      <c r="T19" s="16">
        <f t="shared" ref="T19:W19" si="3">MIN(T2:T16)</f>
        <v>0.407</v>
      </c>
      <c r="U19" s="16">
        <f t="shared" si="3"/>
        <v>0.124</v>
      </c>
      <c r="V19" s="16">
        <f t="shared" si="3"/>
        <v>0.034</v>
      </c>
      <c r="W19" s="16">
        <f t="shared" si="3"/>
        <v>0.082</v>
      </c>
    </row>
    <row r="20">
      <c r="P20" s="14"/>
      <c r="Q20" s="14"/>
      <c r="T20" s="14"/>
      <c r="U20" s="14"/>
      <c r="V20" s="14"/>
      <c r="W20" s="14"/>
    </row>
    <row r="21">
      <c r="P21" s="14"/>
      <c r="Q21" s="14"/>
      <c r="T21" s="14"/>
      <c r="U21" s="14"/>
      <c r="V21" s="14"/>
      <c r="W21" s="14"/>
    </row>
    <row r="22">
      <c r="P22" s="14"/>
      <c r="Q22" s="14"/>
      <c r="T22" s="14"/>
      <c r="U22" s="14"/>
      <c r="V22" s="14"/>
      <c r="W22" s="14"/>
    </row>
    <row r="23">
      <c r="P23" s="14"/>
      <c r="Q23" s="14"/>
      <c r="T23" s="14"/>
      <c r="U23" s="14"/>
      <c r="V23" s="14"/>
      <c r="W23" s="14"/>
    </row>
    <row r="24">
      <c r="P24" s="14"/>
      <c r="Q24" s="14"/>
      <c r="T24" s="14" t="s">
        <v>335</v>
      </c>
      <c r="U24" s="14"/>
      <c r="V24" s="14"/>
      <c r="W24" s="14"/>
    </row>
    <row r="25">
      <c r="P25" s="14"/>
      <c r="Q25" s="14"/>
      <c r="T25" s="14" t="s">
        <v>336</v>
      </c>
      <c r="U25" s="16">
        <f>Average(T$2:T$16)</f>
        <v>0.4988666667</v>
      </c>
      <c r="V25" s="16">
        <f t="shared" ref="V25:V28" si="4">round(U25,2)</f>
        <v>0.5</v>
      </c>
      <c r="W25" s="14"/>
    </row>
    <row r="26">
      <c r="P26" s="14"/>
      <c r="Q26" s="14"/>
      <c r="T26" s="14" t="s">
        <v>337</v>
      </c>
      <c r="U26" s="16">
        <f>Average(U$2:U$16)</f>
        <v>0.217</v>
      </c>
      <c r="V26" s="16">
        <f t="shared" si="4"/>
        <v>0.22</v>
      </c>
      <c r="W26" s="14"/>
    </row>
    <row r="27">
      <c r="P27" s="14"/>
      <c r="Q27" s="14"/>
      <c r="T27" s="14" t="s">
        <v>338</v>
      </c>
      <c r="U27" s="16">
        <f>Average(V$2:V$16)</f>
        <v>0.0622</v>
      </c>
      <c r="V27" s="16">
        <f t="shared" si="4"/>
        <v>0.06</v>
      </c>
      <c r="W27" s="14"/>
    </row>
    <row r="28">
      <c r="P28" s="14"/>
      <c r="Q28" s="14"/>
      <c r="T28" s="14" t="s">
        <v>340</v>
      </c>
      <c r="U28" s="16">
        <f>Average(W$2:W$16)</f>
        <v>0.1551333333</v>
      </c>
      <c r="V28" s="16">
        <f t="shared" si="4"/>
        <v>0.16</v>
      </c>
      <c r="W28" s="14"/>
    </row>
    <row r="29">
      <c r="P29" s="14"/>
      <c r="Q29" s="14"/>
      <c r="T29" s="14"/>
      <c r="U29" s="14"/>
      <c r="V29" s="14"/>
      <c r="W29" s="14"/>
    </row>
    <row r="30">
      <c r="P30" s="14"/>
      <c r="Q30" s="14"/>
      <c r="T30" s="14"/>
      <c r="U30" s="14"/>
      <c r="V30" s="14"/>
      <c r="W30" s="14"/>
    </row>
    <row r="31">
      <c r="P31" s="14"/>
      <c r="Q31" s="14"/>
      <c r="T31" s="4" t="s">
        <v>342</v>
      </c>
      <c r="U31" s="14"/>
      <c r="V31" s="14"/>
      <c r="W31" s="14"/>
    </row>
    <row r="32">
      <c r="P32" s="14"/>
      <c r="Q32" s="14"/>
      <c r="T32" s="4" t="s">
        <v>343</v>
      </c>
      <c r="U32" s="14"/>
      <c r="V32" s="14"/>
      <c r="W32" s="14"/>
    </row>
    <row r="33">
      <c r="P33" s="14"/>
      <c r="Q33" s="14"/>
      <c r="T33" s="4" t="s">
        <v>344</v>
      </c>
      <c r="U33" s="25">
        <f>Sum(AI$2:AI$16, AK$2:AK$16, AM$2:AM$16, AO$2:AO$16)</f>
        <v>0</v>
      </c>
      <c r="V33" s="14"/>
      <c r="W33" s="14"/>
    </row>
    <row r="34">
      <c r="P34" s="14"/>
      <c r="Q34" s="14"/>
      <c r="T34" s="4" t="s">
        <v>347</v>
      </c>
      <c r="U34" s="25">
        <f>15*4</f>
        <v>60</v>
      </c>
      <c r="V34" s="14"/>
      <c r="W34" s="14"/>
    </row>
    <row r="35">
      <c r="P35" s="14"/>
      <c r="Q35" s="14"/>
      <c r="T35" s="4" t="s">
        <v>342</v>
      </c>
      <c r="U35" s="25">
        <f>U33/U34</f>
        <v>0</v>
      </c>
      <c r="V35" s="14"/>
      <c r="W35" s="14"/>
    </row>
    <row r="36">
      <c r="P36" s="14"/>
      <c r="Q36" s="14"/>
      <c r="T36" s="14"/>
      <c r="U36" s="14"/>
      <c r="V36" s="14"/>
      <c r="W36" s="14"/>
    </row>
    <row r="37">
      <c r="P37" s="14"/>
      <c r="Q37" s="14"/>
      <c r="T37" s="14"/>
      <c r="U37" s="14"/>
      <c r="V37" s="14"/>
      <c r="W37" s="14"/>
    </row>
    <row r="38">
      <c r="P38" s="14"/>
      <c r="Q38" s="14"/>
      <c r="T38" s="14"/>
      <c r="U38" s="14"/>
      <c r="V38" s="14"/>
      <c r="W38" s="14"/>
    </row>
    <row r="39">
      <c r="P39" s="14"/>
      <c r="Q39" s="14"/>
      <c r="T39" s="14"/>
      <c r="U39" s="14"/>
      <c r="V39" s="14"/>
      <c r="W39" s="14"/>
    </row>
    <row r="40">
      <c r="P40" s="14"/>
      <c r="Q40" s="14"/>
      <c r="T40" s="14"/>
      <c r="U40" s="14"/>
      <c r="V40" s="14"/>
      <c r="W40" s="14"/>
    </row>
    <row r="41">
      <c r="P41" s="14"/>
      <c r="Q41" s="14"/>
      <c r="T41" s="14"/>
      <c r="U41" s="14"/>
      <c r="V41" s="14"/>
      <c r="W41" s="14"/>
    </row>
    <row r="42">
      <c r="P42" s="14"/>
      <c r="Q42" s="14"/>
      <c r="T42" s="14"/>
      <c r="U42" s="14"/>
      <c r="V42" s="14"/>
      <c r="W42" s="14"/>
    </row>
    <row r="43">
      <c r="P43" s="14"/>
      <c r="Q43" s="14"/>
      <c r="T43" s="14"/>
      <c r="U43" s="14"/>
      <c r="V43" s="14"/>
      <c r="W43" s="14"/>
    </row>
    <row r="44">
      <c r="P44" s="14"/>
      <c r="Q44" s="14"/>
      <c r="T44" s="14"/>
      <c r="U44" s="14"/>
      <c r="V44" s="14"/>
      <c r="W44" s="14"/>
    </row>
    <row r="45">
      <c r="P45" s="14"/>
      <c r="Q45" s="14"/>
      <c r="T45" s="14"/>
      <c r="U45" s="14"/>
      <c r="V45" s="14"/>
      <c r="W45" s="14"/>
    </row>
    <row r="46">
      <c r="P46" s="14"/>
      <c r="Q46" s="14"/>
      <c r="T46" s="14"/>
      <c r="U46" s="14"/>
      <c r="V46" s="14"/>
      <c r="W46" s="14"/>
    </row>
    <row r="47">
      <c r="P47" s="14"/>
      <c r="Q47" s="14"/>
      <c r="T47" s="14"/>
      <c r="U47" s="14"/>
      <c r="V47" s="14"/>
      <c r="W47" s="14"/>
    </row>
    <row r="48">
      <c r="P48" s="14"/>
      <c r="Q48" s="14"/>
      <c r="T48" s="14"/>
      <c r="U48" s="14"/>
      <c r="V48" s="14"/>
      <c r="W48" s="14"/>
    </row>
    <row r="49">
      <c r="P49" s="14"/>
      <c r="Q49" s="14"/>
      <c r="T49" s="14"/>
      <c r="U49" s="14"/>
      <c r="V49" s="14"/>
      <c r="W49" s="14"/>
    </row>
    <row r="50">
      <c r="P50" s="14"/>
      <c r="Q50" s="14"/>
      <c r="T50" s="14"/>
      <c r="U50" s="14"/>
      <c r="V50" s="14"/>
      <c r="W50" s="14"/>
    </row>
    <row r="51">
      <c r="P51" s="14"/>
      <c r="Q51" s="14"/>
      <c r="T51" s="14"/>
      <c r="U51" s="14"/>
      <c r="V51" s="14"/>
      <c r="W51" s="14"/>
    </row>
    <row r="52">
      <c r="P52" s="14"/>
      <c r="Q52" s="14"/>
      <c r="T52" s="14"/>
      <c r="U52" s="14"/>
      <c r="V52" s="14"/>
      <c r="W52" s="14"/>
    </row>
    <row r="53">
      <c r="P53" s="14"/>
      <c r="Q53" s="14"/>
      <c r="T53" s="14"/>
      <c r="U53" s="14"/>
      <c r="V53" s="14"/>
      <c r="W53" s="14"/>
    </row>
    <row r="54">
      <c r="P54" s="14"/>
      <c r="Q54" s="14"/>
      <c r="T54" s="14"/>
      <c r="U54" s="14"/>
      <c r="V54" s="14"/>
      <c r="W54" s="14"/>
    </row>
    <row r="55">
      <c r="P55" s="14"/>
      <c r="Q55" s="14"/>
      <c r="T55" s="14"/>
      <c r="U55" s="14"/>
      <c r="V55" s="14"/>
      <c r="W55" s="14"/>
    </row>
    <row r="56">
      <c r="P56" s="14"/>
      <c r="Q56" s="14"/>
      <c r="T56" s="14"/>
      <c r="U56" s="14"/>
      <c r="V56" s="14"/>
      <c r="W56" s="14"/>
    </row>
    <row r="57">
      <c r="P57" s="14"/>
      <c r="Q57" s="14"/>
      <c r="T57" s="14"/>
      <c r="U57" s="14"/>
      <c r="V57" s="14"/>
      <c r="W57" s="14"/>
    </row>
    <row r="58">
      <c r="P58" s="14"/>
      <c r="Q58" s="14"/>
      <c r="T58" s="14"/>
      <c r="U58" s="14"/>
      <c r="V58" s="14"/>
      <c r="W58" s="14"/>
    </row>
    <row r="59">
      <c r="P59" s="14"/>
      <c r="Q59" s="14"/>
      <c r="T59" s="14"/>
      <c r="U59" s="14"/>
      <c r="V59" s="14"/>
      <c r="W59" s="14"/>
    </row>
    <row r="60">
      <c r="P60" s="14"/>
      <c r="Q60" s="14"/>
      <c r="T60" s="14"/>
      <c r="U60" s="14"/>
      <c r="V60" s="14"/>
      <c r="W60" s="14"/>
    </row>
    <row r="61">
      <c r="P61" s="14"/>
      <c r="Q61" s="14"/>
      <c r="T61" s="14"/>
      <c r="U61" s="14"/>
      <c r="V61" s="14"/>
      <c r="W61" s="14"/>
    </row>
    <row r="62">
      <c r="P62" s="14"/>
      <c r="Q62" s="14"/>
      <c r="T62" s="14"/>
      <c r="U62" s="14"/>
      <c r="V62" s="14"/>
      <c r="W62" s="14"/>
    </row>
    <row r="63">
      <c r="P63" s="14"/>
      <c r="Q63" s="14"/>
      <c r="T63" s="14"/>
      <c r="U63" s="14"/>
      <c r="V63" s="14"/>
      <c r="W63" s="14"/>
    </row>
    <row r="64">
      <c r="P64" s="14"/>
      <c r="Q64" s="14"/>
      <c r="T64" s="14"/>
      <c r="U64" s="14"/>
      <c r="V64" s="14"/>
      <c r="W64" s="14"/>
    </row>
    <row r="65">
      <c r="P65" s="14"/>
      <c r="Q65" s="14"/>
      <c r="T65" s="14"/>
      <c r="U65" s="14"/>
      <c r="V65" s="14"/>
      <c r="W65" s="14"/>
    </row>
    <row r="66">
      <c r="P66" s="14"/>
      <c r="Q66" s="14"/>
      <c r="T66" s="14"/>
      <c r="U66" s="14"/>
      <c r="V66" s="14"/>
      <c r="W66" s="14"/>
    </row>
    <row r="67">
      <c r="P67" s="14"/>
      <c r="Q67" s="14"/>
      <c r="T67" s="14"/>
      <c r="U67" s="14"/>
      <c r="V67" s="14"/>
      <c r="W67" s="14"/>
    </row>
    <row r="68">
      <c r="P68" s="14"/>
      <c r="Q68" s="14"/>
      <c r="T68" s="14"/>
      <c r="U68" s="14"/>
      <c r="V68" s="14"/>
      <c r="W68" s="14"/>
    </row>
    <row r="69">
      <c r="P69" s="14"/>
      <c r="Q69" s="14"/>
      <c r="T69" s="14"/>
      <c r="U69" s="14"/>
      <c r="V69" s="14"/>
      <c r="W69" s="14"/>
    </row>
    <row r="70">
      <c r="P70" s="14"/>
      <c r="Q70" s="14"/>
      <c r="T70" s="14"/>
      <c r="U70" s="14"/>
      <c r="V70" s="14"/>
      <c r="W70" s="14"/>
    </row>
    <row r="71">
      <c r="P71" s="14"/>
      <c r="Q71" s="14"/>
      <c r="T71" s="14"/>
      <c r="U71" s="14"/>
      <c r="V71" s="14"/>
      <c r="W71" s="14"/>
    </row>
    <row r="72">
      <c r="P72" s="14"/>
      <c r="Q72" s="14"/>
      <c r="T72" s="14"/>
      <c r="U72" s="14"/>
      <c r="V72" s="14"/>
      <c r="W72" s="14"/>
    </row>
    <row r="73">
      <c r="P73" s="14"/>
      <c r="Q73" s="14"/>
      <c r="T73" s="14"/>
      <c r="U73" s="14"/>
      <c r="V73" s="14"/>
      <c r="W73" s="14"/>
    </row>
    <row r="74">
      <c r="P74" s="14"/>
      <c r="Q74" s="14"/>
      <c r="T74" s="14"/>
      <c r="U74" s="14"/>
      <c r="V74" s="14"/>
      <c r="W74" s="14"/>
    </row>
    <row r="75">
      <c r="P75" s="14"/>
      <c r="Q75" s="14"/>
      <c r="T75" s="14"/>
      <c r="U75" s="14"/>
      <c r="V75" s="14"/>
      <c r="W75" s="14"/>
    </row>
    <row r="76">
      <c r="P76" s="14"/>
      <c r="Q76" s="14"/>
      <c r="T76" s="14"/>
      <c r="U76" s="14"/>
      <c r="V76" s="14"/>
      <c r="W76" s="14"/>
    </row>
    <row r="77">
      <c r="P77" s="14"/>
      <c r="Q77" s="14"/>
      <c r="T77" s="14"/>
      <c r="U77" s="14"/>
      <c r="V77" s="14"/>
      <c r="W77" s="14"/>
    </row>
    <row r="78">
      <c r="P78" s="14"/>
      <c r="Q78" s="14"/>
      <c r="T78" s="14"/>
      <c r="U78" s="14"/>
      <c r="V78" s="14"/>
      <c r="W78" s="14"/>
    </row>
    <row r="79">
      <c r="P79" s="14"/>
      <c r="Q79" s="14"/>
      <c r="T79" s="14"/>
      <c r="U79" s="14"/>
      <c r="V79" s="14"/>
      <c r="W79" s="14"/>
    </row>
    <row r="80">
      <c r="P80" s="14"/>
      <c r="Q80" s="14"/>
      <c r="T80" s="14"/>
      <c r="U80" s="14"/>
      <c r="V80" s="14"/>
      <c r="W80" s="14"/>
    </row>
    <row r="81">
      <c r="P81" s="14"/>
      <c r="Q81" s="14"/>
      <c r="T81" s="14"/>
      <c r="U81" s="14"/>
      <c r="V81" s="14"/>
      <c r="W81" s="14"/>
    </row>
    <row r="82">
      <c r="P82" s="14"/>
      <c r="Q82" s="14"/>
      <c r="T82" s="14"/>
      <c r="U82" s="14"/>
      <c r="V82" s="14"/>
      <c r="W82" s="14"/>
    </row>
    <row r="83">
      <c r="P83" s="14"/>
      <c r="Q83" s="14"/>
      <c r="T83" s="14"/>
      <c r="U83" s="14"/>
      <c r="V83" s="14"/>
      <c r="W83" s="14"/>
    </row>
    <row r="84">
      <c r="P84" s="14"/>
      <c r="Q84" s="14"/>
      <c r="T84" s="14"/>
      <c r="U84" s="14"/>
      <c r="V84" s="14"/>
      <c r="W84" s="14"/>
    </row>
    <row r="85">
      <c r="P85" s="14"/>
      <c r="Q85" s="14"/>
      <c r="T85" s="14"/>
      <c r="U85" s="14"/>
      <c r="V85" s="14"/>
      <c r="W85" s="14"/>
    </row>
    <row r="86">
      <c r="P86" s="14"/>
      <c r="Q86" s="14"/>
      <c r="T86" s="14"/>
      <c r="U86" s="14"/>
      <c r="V86" s="14"/>
      <c r="W86" s="14"/>
    </row>
    <row r="87">
      <c r="P87" s="14"/>
      <c r="Q87" s="14"/>
      <c r="T87" s="14"/>
      <c r="U87" s="14"/>
      <c r="V87" s="14"/>
      <c r="W87" s="14"/>
    </row>
    <row r="88">
      <c r="P88" s="14"/>
      <c r="Q88" s="14"/>
      <c r="T88" s="14"/>
      <c r="U88" s="14"/>
      <c r="V88" s="14"/>
      <c r="W88" s="14"/>
    </row>
    <row r="89">
      <c r="P89" s="14"/>
      <c r="Q89" s="14"/>
      <c r="T89" s="14"/>
      <c r="U89" s="14"/>
      <c r="V89" s="14"/>
      <c r="W89" s="14"/>
    </row>
    <row r="90">
      <c r="P90" s="14"/>
      <c r="Q90" s="14"/>
      <c r="T90" s="14"/>
      <c r="U90" s="14"/>
      <c r="V90" s="14"/>
      <c r="W90" s="14"/>
    </row>
    <row r="91">
      <c r="P91" s="14"/>
      <c r="Q91" s="14"/>
      <c r="T91" s="14"/>
      <c r="U91" s="14"/>
      <c r="V91" s="14"/>
      <c r="W91" s="14"/>
    </row>
    <row r="92">
      <c r="P92" s="14"/>
      <c r="Q92" s="14"/>
      <c r="T92" s="14"/>
      <c r="U92" s="14"/>
      <c r="V92" s="14"/>
      <c r="W92" s="14"/>
    </row>
    <row r="93">
      <c r="P93" s="14"/>
      <c r="Q93" s="14"/>
      <c r="T93" s="14"/>
      <c r="U93" s="14"/>
      <c r="V93" s="14"/>
      <c r="W93" s="14"/>
    </row>
    <row r="94">
      <c r="P94" s="14"/>
      <c r="Q94" s="14"/>
      <c r="T94" s="14"/>
      <c r="U94" s="14"/>
      <c r="V94" s="14"/>
      <c r="W94" s="14"/>
    </row>
    <row r="95">
      <c r="P95" s="14"/>
      <c r="Q95" s="14"/>
      <c r="T95" s="14"/>
      <c r="U95" s="14"/>
      <c r="V95" s="14"/>
      <c r="W95" s="14"/>
    </row>
    <row r="96">
      <c r="P96" s="14"/>
      <c r="Q96" s="14"/>
      <c r="T96" s="14"/>
      <c r="U96" s="14"/>
      <c r="V96" s="14"/>
      <c r="W96" s="14"/>
    </row>
    <row r="97">
      <c r="P97" s="14"/>
      <c r="Q97" s="14"/>
      <c r="T97" s="14"/>
      <c r="U97" s="14"/>
      <c r="V97" s="14"/>
      <c r="W97" s="14"/>
    </row>
    <row r="98">
      <c r="P98" s="14"/>
      <c r="Q98" s="14"/>
      <c r="T98" s="14"/>
      <c r="U98" s="14"/>
      <c r="V98" s="14"/>
      <c r="W98" s="14"/>
    </row>
    <row r="99">
      <c r="P99" s="14"/>
      <c r="Q99" s="14"/>
      <c r="T99" s="14"/>
      <c r="U99" s="14"/>
      <c r="V99" s="14"/>
      <c r="W99" s="14"/>
    </row>
    <row r="100">
      <c r="P100" s="14"/>
      <c r="Q100" s="14"/>
      <c r="T100" s="14"/>
      <c r="U100" s="14"/>
      <c r="V100" s="14"/>
      <c r="W100" s="14"/>
    </row>
    <row r="101">
      <c r="P101" s="14"/>
      <c r="Q101" s="14"/>
      <c r="T101" s="14"/>
      <c r="U101" s="14"/>
      <c r="V101" s="14"/>
      <c r="W101" s="14"/>
    </row>
    <row r="102">
      <c r="P102" s="14"/>
      <c r="Q102" s="14"/>
      <c r="T102" s="14"/>
      <c r="U102" s="14"/>
      <c r="V102" s="14"/>
      <c r="W102" s="14"/>
    </row>
    <row r="103">
      <c r="P103" s="14"/>
      <c r="Q103" s="14"/>
      <c r="T103" s="14"/>
      <c r="U103" s="14"/>
      <c r="V103" s="14"/>
      <c r="W103" s="14"/>
    </row>
    <row r="104">
      <c r="P104" s="14"/>
      <c r="Q104" s="14"/>
      <c r="T104" s="14"/>
      <c r="U104" s="14"/>
      <c r="V104" s="14"/>
      <c r="W104" s="14"/>
    </row>
    <row r="105">
      <c r="P105" s="14"/>
      <c r="Q105" s="14"/>
      <c r="T105" s="14"/>
      <c r="U105" s="14"/>
      <c r="V105" s="14"/>
      <c r="W105" s="14"/>
    </row>
    <row r="106">
      <c r="P106" s="14"/>
      <c r="Q106" s="14"/>
      <c r="T106" s="14"/>
      <c r="U106" s="14"/>
      <c r="V106" s="14"/>
      <c r="W106" s="14"/>
    </row>
    <row r="107">
      <c r="P107" s="14"/>
      <c r="Q107" s="14"/>
      <c r="T107" s="14"/>
      <c r="U107" s="14"/>
      <c r="V107" s="14"/>
      <c r="W107" s="14"/>
    </row>
    <row r="108">
      <c r="P108" s="14"/>
      <c r="Q108" s="14"/>
      <c r="T108" s="14"/>
      <c r="U108" s="14"/>
      <c r="V108" s="14"/>
      <c r="W108" s="14"/>
    </row>
    <row r="109">
      <c r="P109" s="14"/>
      <c r="Q109" s="14"/>
      <c r="T109" s="14"/>
      <c r="U109" s="14"/>
      <c r="V109" s="14"/>
      <c r="W109" s="14"/>
    </row>
    <row r="110">
      <c r="P110" s="14"/>
      <c r="Q110" s="14"/>
      <c r="T110" s="14"/>
      <c r="U110" s="14"/>
      <c r="V110" s="14"/>
      <c r="W110" s="14"/>
    </row>
    <row r="111">
      <c r="P111" s="14"/>
      <c r="Q111" s="14"/>
      <c r="T111" s="14"/>
      <c r="U111" s="14"/>
      <c r="V111" s="14"/>
      <c r="W111" s="14"/>
    </row>
    <row r="112">
      <c r="P112" s="14"/>
      <c r="Q112" s="14"/>
      <c r="T112" s="14"/>
      <c r="U112" s="14"/>
      <c r="V112" s="14"/>
      <c r="W112" s="14"/>
    </row>
    <row r="113">
      <c r="P113" s="14"/>
      <c r="Q113" s="14"/>
      <c r="T113" s="14"/>
      <c r="U113" s="14"/>
      <c r="V113" s="14"/>
      <c r="W113" s="14"/>
    </row>
    <row r="114">
      <c r="P114" s="14"/>
      <c r="Q114" s="14"/>
      <c r="T114" s="14"/>
      <c r="U114" s="14"/>
      <c r="V114" s="14"/>
      <c r="W114" s="14"/>
    </row>
    <row r="115">
      <c r="P115" s="14"/>
      <c r="Q115" s="14"/>
      <c r="T115" s="14"/>
      <c r="U115" s="14"/>
      <c r="V115" s="14"/>
      <c r="W115" s="14"/>
    </row>
    <row r="116">
      <c r="P116" s="14"/>
      <c r="Q116" s="14"/>
      <c r="T116" s="14"/>
      <c r="U116" s="14"/>
      <c r="V116" s="14"/>
      <c r="W116" s="14"/>
    </row>
    <row r="117">
      <c r="P117" s="14"/>
      <c r="Q117" s="14"/>
      <c r="T117" s="14"/>
      <c r="U117" s="14"/>
      <c r="V117" s="14"/>
      <c r="W117" s="14"/>
    </row>
    <row r="118">
      <c r="P118" s="14"/>
      <c r="Q118" s="14"/>
      <c r="T118" s="14"/>
      <c r="U118" s="14"/>
      <c r="V118" s="14"/>
      <c r="W118" s="14"/>
    </row>
    <row r="119">
      <c r="P119" s="14"/>
      <c r="Q119" s="14"/>
      <c r="T119" s="14"/>
      <c r="U119" s="14"/>
      <c r="V119" s="14"/>
      <c r="W119" s="14"/>
    </row>
    <row r="120">
      <c r="P120" s="14"/>
      <c r="Q120" s="14"/>
      <c r="T120" s="14"/>
      <c r="U120" s="14"/>
      <c r="V120" s="14"/>
      <c r="W120" s="14"/>
    </row>
    <row r="121">
      <c r="P121" s="14"/>
      <c r="Q121" s="14"/>
      <c r="T121" s="14"/>
      <c r="U121" s="14"/>
      <c r="V121" s="14"/>
      <c r="W121" s="14"/>
    </row>
    <row r="122">
      <c r="P122" s="14"/>
      <c r="Q122" s="14"/>
      <c r="T122" s="14"/>
      <c r="U122" s="14"/>
      <c r="V122" s="14"/>
      <c r="W122" s="14"/>
    </row>
    <row r="123">
      <c r="P123" s="14"/>
      <c r="Q123" s="14"/>
      <c r="T123" s="14"/>
      <c r="U123" s="14"/>
      <c r="V123" s="14"/>
      <c r="W123" s="14"/>
    </row>
    <row r="124">
      <c r="P124" s="14"/>
      <c r="Q124" s="14"/>
      <c r="T124" s="14"/>
      <c r="U124" s="14"/>
      <c r="V124" s="14"/>
      <c r="W124" s="14"/>
    </row>
    <row r="125">
      <c r="P125" s="14"/>
      <c r="Q125" s="14"/>
      <c r="T125" s="14"/>
      <c r="U125" s="14"/>
      <c r="V125" s="14"/>
      <c r="W125" s="14"/>
    </row>
    <row r="126">
      <c r="P126" s="14"/>
      <c r="Q126" s="14"/>
      <c r="T126" s="14"/>
      <c r="U126" s="14"/>
      <c r="V126" s="14"/>
      <c r="W126" s="14"/>
    </row>
    <row r="127">
      <c r="P127" s="14"/>
      <c r="Q127" s="14"/>
      <c r="T127" s="14"/>
      <c r="U127" s="14"/>
      <c r="V127" s="14"/>
      <c r="W127" s="14"/>
    </row>
    <row r="128">
      <c r="P128" s="14"/>
      <c r="Q128" s="14"/>
      <c r="T128" s="14"/>
      <c r="U128" s="14"/>
      <c r="V128" s="14"/>
      <c r="W128" s="14"/>
    </row>
    <row r="129">
      <c r="P129" s="14"/>
      <c r="Q129" s="14"/>
      <c r="T129" s="14"/>
      <c r="U129" s="14"/>
      <c r="V129" s="14"/>
      <c r="W129" s="14"/>
    </row>
    <row r="130">
      <c r="P130" s="14"/>
      <c r="Q130" s="14"/>
      <c r="T130" s="14"/>
      <c r="U130" s="14"/>
      <c r="V130" s="14"/>
      <c r="W130" s="14"/>
    </row>
    <row r="131">
      <c r="P131" s="14"/>
      <c r="Q131" s="14"/>
      <c r="T131" s="14"/>
      <c r="U131" s="14"/>
      <c r="V131" s="14"/>
      <c r="W131" s="14"/>
    </row>
    <row r="132">
      <c r="P132" s="14"/>
      <c r="Q132" s="14"/>
      <c r="T132" s="14"/>
      <c r="U132" s="14"/>
      <c r="V132" s="14"/>
      <c r="W132" s="14"/>
    </row>
    <row r="133">
      <c r="P133" s="14"/>
      <c r="Q133" s="14"/>
      <c r="T133" s="14"/>
      <c r="U133" s="14"/>
      <c r="V133" s="14"/>
      <c r="W133" s="14"/>
    </row>
    <row r="134">
      <c r="P134" s="14"/>
      <c r="Q134" s="14"/>
      <c r="T134" s="14"/>
      <c r="U134" s="14"/>
      <c r="V134" s="14"/>
      <c r="W134" s="14"/>
    </row>
    <row r="135">
      <c r="P135" s="14"/>
      <c r="Q135" s="14"/>
      <c r="T135" s="14"/>
      <c r="U135" s="14"/>
      <c r="V135" s="14"/>
      <c r="W135" s="14"/>
    </row>
    <row r="136">
      <c r="P136" s="14"/>
      <c r="Q136" s="14"/>
      <c r="T136" s="14"/>
      <c r="U136" s="14"/>
      <c r="V136" s="14"/>
      <c r="W136" s="14"/>
    </row>
    <row r="137">
      <c r="P137" s="14"/>
      <c r="Q137" s="14"/>
      <c r="T137" s="14"/>
      <c r="U137" s="14"/>
      <c r="V137" s="14"/>
      <c r="W137" s="14"/>
    </row>
    <row r="138">
      <c r="P138" s="14"/>
      <c r="Q138" s="14"/>
      <c r="T138" s="14"/>
      <c r="U138" s="14"/>
      <c r="V138" s="14"/>
      <c r="W138" s="14"/>
    </row>
    <row r="139">
      <c r="P139" s="14"/>
      <c r="Q139" s="14"/>
      <c r="T139" s="14"/>
      <c r="U139" s="14"/>
      <c r="V139" s="14"/>
      <c r="W139" s="14"/>
    </row>
    <row r="140">
      <c r="P140" s="14"/>
      <c r="Q140" s="14"/>
      <c r="T140" s="14"/>
      <c r="U140" s="14"/>
      <c r="V140" s="14"/>
      <c r="W140" s="14"/>
    </row>
    <row r="141">
      <c r="P141" s="14"/>
      <c r="Q141" s="14"/>
      <c r="T141" s="14"/>
      <c r="U141" s="14"/>
      <c r="V141" s="14"/>
      <c r="W141" s="14"/>
    </row>
    <row r="142">
      <c r="P142" s="14"/>
      <c r="Q142" s="14"/>
      <c r="T142" s="14"/>
      <c r="U142" s="14"/>
      <c r="V142" s="14"/>
      <c r="W142" s="14"/>
    </row>
    <row r="143">
      <c r="P143" s="14"/>
      <c r="Q143" s="14"/>
      <c r="T143" s="14"/>
      <c r="U143" s="14"/>
      <c r="V143" s="14"/>
      <c r="W143" s="14"/>
    </row>
    <row r="144">
      <c r="P144" s="14"/>
      <c r="Q144" s="14"/>
      <c r="T144" s="14"/>
      <c r="U144" s="14"/>
      <c r="V144" s="14"/>
      <c r="W144" s="14"/>
    </row>
    <row r="145">
      <c r="P145" s="14"/>
      <c r="Q145" s="14"/>
      <c r="T145" s="14"/>
      <c r="U145" s="14"/>
      <c r="V145" s="14"/>
      <c r="W145" s="14"/>
    </row>
    <row r="146">
      <c r="P146" s="14"/>
      <c r="Q146" s="14"/>
      <c r="T146" s="14"/>
      <c r="U146" s="14"/>
      <c r="V146" s="14"/>
      <c r="W146" s="14"/>
    </row>
    <row r="147">
      <c r="P147" s="14"/>
      <c r="Q147" s="14"/>
      <c r="T147" s="14"/>
      <c r="U147" s="14"/>
      <c r="V147" s="14"/>
      <c r="W147" s="14"/>
    </row>
    <row r="148">
      <c r="P148" s="14"/>
      <c r="Q148" s="14"/>
      <c r="T148" s="14"/>
      <c r="U148" s="14"/>
      <c r="V148" s="14"/>
      <c r="W148" s="14"/>
    </row>
    <row r="149">
      <c r="P149" s="14"/>
      <c r="Q149" s="14"/>
      <c r="T149" s="14"/>
      <c r="U149" s="14"/>
      <c r="V149" s="14"/>
      <c r="W149" s="14"/>
    </row>
    <row r="150">
      <c r="P150" s="14"/>
      <c r="Q150" s="14"/>
      <c r="T150" s="14"/>
      <c r="U150" s="14"/>
      <c r="V150" s="14"/>
      <c r="W150" s="14"/>
    </row>
    <row r="151">
      <c r="P151" s="14"/>
      <c r="Q151" s="14"/>
      <c r="T151" s="14"/>
      <c r="U151" s="14"/>
      <c r="V151" s="14"/>
      <c r="W151" s="14"/>
    </row>
    <row r="152">
      <c r="P152" s="14"/>
      <c r="Q152" s="14"/>
      <c r="T152" s="14"/>
      <c r="U152" s="14"/>
      <c r="V152" s="14"/>
      <c r="W152" s="14"/>
    </row>
    <row r="153">
      <c r="P153" s="14"/>
      <c r="Q153" s="14"/>
      <c r="T153" s="14"/>
      <c r="U153" s="14"/>
      <c r="V153" s="14"/>
      <c r="W153" s="14"/>
    </row>
    <row r="154">
      <c r="P154" s="14"/>
      <c r="Q154" s="14"/>
      <c r="T154" s="14"/>
      <c r="U154" s="14"/>
      <c r="V154" s="14"/>
      <c r="W154" s="14"/>
    </row>
    <row r="155">
      <c r="P155" s="14"/>
      <c r="Q155" s="14"/>
      <c r="T155" s="14"/>
      <c r="U155" s="14"/>
      <c r="V155" s="14"/>
      <c r="W155" s="14"/>
    </row>
    <row r="156">
      <c r="P156" s="14"/>
      <c r="Q156" s="14"/>
      <c r="T156" s="14"/>
      <c r="U156" s="14"/>
      <c r="V156" s="14"/>
      <c r="W156" s="14"/>
    </row>
    <row r="157">
      <c r="P157" s="14"/>
      <c r="Q157" s="14"/>
      <c r="T157" s="14"/>
      <c r="U157" s="14"/>
      <c r="V157" s="14"/>
      <c r="W157" s="14"/>
    </row>
    <row r="158">
      <c r="P158" s="14"/>
      <c r="Q158" s="14"/>
      <c r="T158" s="14"/>
      <c r="U158" s="14"/>
      <c r="V158" s="14"/>
      <c r="W158" s="14"/>
    </row>
    <row r="159">
      <c r="P159" s="14"/>
      <c r="Q159" s="14"/>
      <c r="T159" s="14"/>
      <c r="U159" s="14"/>
      <c r="V159" s="14"/>
      <c r="W159" s="14"/>
    </row>
    <row r="160">
      <c r="P160" s="14"/>
      <c r="Q160" s="14"/>
      <c r="T160" s="14"/>
      <c r="U160" s="14"/>
      <c r="V160" s="14"/>
      <c r="W160" s="14"/>
    </row>
    <row r="161">
      <c r="P161" s="14"/>
      <c r="Q161" s="14"/>
      <c r="T161" s="14"/>
      <c r="U161" s="14"/>
      <c r="V161" s="14"/>
      <c r="W161" s="14"/>
    </row>
    <row r="162">
      <c r="P162" s="14"/>
      <c r="Q162" s="14"/>
      <c r="T162" s="14"/>
      <c r="U162" s="14"/>
      <c r="V162" s="14"/>
      <c r="W162" s="14"/>
    </row>
    <row r="163">
      <c r="P163" s="14"/>
      <c r="Q163" s="14"/>
      <c r="T163" s="14"/>
      <c r="U163" s="14"/>
      <c r="V163" s="14"/>
      <c r="W163" s="14"/>
    </row>
    <row r="164">
      <c r="P164" s="14"/>
      <c r="Q164" s="14"/>
      <c r="T164" s="14"/>
      <c r="U164" s="14"/>
      <c r="V164" s="14"/>
      <c r="W164" s="14"/>
    </row>
    <row r="165">
      <c r="P165" s="14"/>
      <c r="Q165" s="14"/>
      <c r="T165" s="14"/>
      <c r="U165" s="14"/>
      <c r="V165" s="14"/>
      <c r="W165" s="14"/>
    </row>
    <row r="166">
      <c r="P166" s="14"/>
      <c r="Q166" s="14"/>
      <c r="T166" s="14"/>
      <c r="U166" s="14"/>
      <c r="V166" s="14"/>
      <c r="W166" s="14"/>
    </row>
    <row r="167">
      <c r="P167" s="14"/>
      <c r="Q167" s="14"/>
      <c r="T167" s="14"/>
      <c r="U167" s="14"/>
      <c r="V167" s="14"/>
      <c r="W167" s="14"/>
    </row>
    <row r="168">
      <c r="P168" s="14"/>
      <c r="Q168" s="14"/>
      <c r="T168" s="14"/>
      <c r="U168" s="14"/>
      <c r="V168" s="14"/>
      <c r="W168" s="14"/>
    </row>
    <row r="169">
      <c r="P169" s="14"/>
      <c r="Q169" s="14"/>
      <c r="T169" s="14"/>
      <c r="U169" s="14"/>
      <c r="V169" s="14"/>
      <c r="W169" s="14"/>
    </row>
    <row r="170">
      <c r="P170" s="14"/>
      <c r="Q170" s="14"/>
      <c r="T170" s="14"/>
      <c r="U170" s="14"/>
      <c r="V170" s="14"/>
      <c r="W170" s="14"/>
    </row>
    <row r="171">
      <c r="P171" s="14"/>
      <c r="Q171" s="14"/>
      <c r="T171" s="14"/>
      <c r="U171" s="14"/>
      <c r="V171" s="14"/>
      <c r="W171" s="14"/>
    </row>
    <row r="172">
      <c r="P172" s="14"/>
      <c r="Q172" s="14"/>
      <c r="T172" s="14"/>
      <c r="U172" s="14"/>
      <c r="V172" s="14"/>
      <c r="W172" s="14"/>
    </row>
    <row r="173">
      <c r="P173" s="14"/>
      <c r="Q173" s="14"/>
      <c r="T173" s="14"/>
      <c r="U173" s="14"/>
      <c r="V173" s="14"/>
      <c r="W173" s="14"/>
    </row>
    <row r="174">
      <c r="P174" s="14"/>
      <c r="Q174" s="14"/>
      <c r="T174" s="14"/>
      <c r="U174" s="14"/>
      <c r="V174" s="14"/>
      <c r="W174" s="14"/>
    </row>
    <row r="175">
      <c r="P175" s="14"/>
      <c r="Q175" s="14"/>
      <c r="T175" s="14"/>
      <c r="U175" s="14"/>
      <c r="V175" s="14"/>
      <c r="W175" s="14"/>
    </row>
    <row r="176">
      <c r="P176" s="14"/>
      <c r="Q176" s="14"/>
      <c r="T176" s="14"/>
      <c r="U176" s="14"/>
      <c r="V176" s="14"/>
      <c r="W176" s="14"/>
    </row>
    <row r="177">
      <c r="P177" s="14"/>
      <c r="Q177" s="14"/>
      <c r="T177" s="14"/>
      <c r="U177" s="14"/>
      <c r="V177" s="14"/>
      <c r="W177" s="14"/>
    </row>
    <row r="178">
      <c r="P178" s="14"/>
      <c r="Q178" s="14"/>
      <c r="T178" s="14"/>
      <c r="U178" s="14"/>
      <c r="V178" s="14"/>
      <c r="W178" s="14"/>
    </row>
    <row r="179">
      <c r="P179" s="14"/>
      <c r="Q179" s="14"/>
      <c r="T179" s="14"/>
      <c r="U179" s="14"/>
      <c r="V179" s="14"/>
      <c r="W179" s="14"/>
    </row>
    <row r="180">
      <c r="P180" s="14"/>
      <c r="Q180" s="14"/>
      <c r="T180" s="14"/>
      <c r="U180" s="14"/>
      <c r="V180" s="14"/>
      <c r="W180" s="14"/>
    </row>
    <row r="181">
      <c r="P181" s="14"/>
      <c r="Q181" s="14"/>
      <c r="T181" s="14"/>
      <c r="U181" s="14"/>
      <c r="V181" s="14"/>
      <c r="W181" s="14"/>
    </row>
    <row r="182">
      <c r="P182" s="14"/>
      <c r="Q182" s="14"/>
      <c r="T182" s="14"/>
      <c r="U182" s="14"/>
      <c r="V182" s="14"/>
      <c r="W182" s="14"/>
    </row>
    <row r="183">
      <c r="P183" s="14"/>
      <c r="Q183" s="14"/>
      <c r="T183" s="14"/>
      <c r="U183" s="14"/>
      <c r="V183" s="14"/>
      <c r="W183" s="14"/>
    </row>
    <row r="184">
      <c r="P184" s="14"/>
      <c r="Q184" s="14"/>
      <c r="T184" s="14"/>
      <c r="U184" s="14"/>
      <c r="V184" s="14"/>
      <c r="W184" s="14"/>
    </row>
    <row r="185">
      <c r="P185" s="14"/>
      <c r="Q185" s="14"/>
      <c r="T185" s="14"/>
      <c r="U185" s="14"/>
      <c r="V185" s="14"/>
      <c r="W185" s="14"/>
    </row>
    <row r="186">
      <c r="P186" s="14"/>
      <c r="Q186" s="14"/>
      <c r="T186" s="14"/>
      <c r="U186" s="14"/>
      <c r="V186" s="14"/>
      <c r="W186" s="14"/>
    </row>
    <row r="187">
      <c r="P187" s="14"/>
      <c r="Q187" s="14"/>
      <c r="T187" s="14"/>
      <c r="U187" s="14"/>
      <c r="V187" s="14"/>
      <c r="W187" s="14"/>
    </row>
    <row r="188">
      <c r="P188" s="14"/>
      <c r="Q188" s="14"/>
      <c r="T188" s="14"/>
      <c r="U188" s="14"/>
      <c r="V188" s="14"/>
      <c r="W188" s="14"/>
    </row>
    <row r="189">
      <c r="P189" s="14"/>
      <c r="Q189" s="14"/>
      <c r="T189" s="14"/>
      <c r="U189" s="14"/>
      <c r="V189" s="14"/>
      <c r="W189" s="14"/>
    </row>
    <row r="190">
      <c r="P190" s="14"/>
      <c r="Q190" s="14"/>
      <c r="T190" s="14"/>
      <c r="U190" s="14"/>
      <c r="V190" s="14"/>
      <c r="W190" s="14"/>
    </row>
    <row r="191">
      <c r="P191" s="14"/>
      <c r="Q191" s="14"/>
      <c r="T191" s="14"/>
      <c r="U191" s="14"/>
      <c r="V191" s="14"/>
      <c r="W191" s="14"/>
    </row>
    <row r="192">
      <c r="P192" s="14"/>
      <c r="Q192" s="14"/>
      <c r="T192" s="14"/>
      <c r="U192" s="14"/>
      <c r="V192" s="14"/>
      <c r="W192" s="14"/>
    </row>
    <row r="193">
      <c r="P193" s="14"/>
      <c r="Q193" s="14"/>
      <c r="T193" s="14"/>
      <c r="U193" s="14"/>
      <c r="V193" s="14"/>
      <c r="W193" s="14"/>
    </row>
    <row r="194">
      <c r="P194" s="14"/>
      <c r="Q194" s="14"/>
      <c r="T194" s="14"/>
      <c r="U194" s="14"/>
      <c r="V194" s="14"/>
      <c r="W194" s="14"/>
    </row>
    <row r="195">
      <c r="P195" s="14"/>
      <c r="Q195" s="14"/>
      <c r="T195" s="14"/>
      <c r="U195" s="14"/>
      <c r="V195" s="14"/>
      <c r="W195" s="14"/>
    </row>
    <row r="196">
      <c r="P196" s="14"/>
      <c r="Q196" s="14"/>
      <c r="T196" s="14"/>
      <c r="U196" s="14"/>
      <c r="V196" s="14"/>
      <c r="W196" s="14"/>
    </row>
    <row r="197">
      <c r="P197" s="14"/>
      <c r="Q197" s="14"/>
      <c r="T197" s="14"/>
      <c r="U197" s="14"/>
      <c r="V197" s="14"/>
      <c r="W197" s="14"/>
    </row>
    <row r="198">
      <c r="P198" s="14"/>
      <c r="Q198" s="14"/>
      <c r="T198" s="14"/>
      <c r="U198" s="14"/>
      <c r="V198" s="14"/>
      <c r="W198" s="14"/>
    </row>
    <row r="199">
      <c r="P199" s="14"/>
      <c r="Q199" s="14"/>
      <c r="T199" s="14"/>
      <c r="U199" s="14"/>
      <c r="V199" s="14"/>
      <c r="W199" s="14"/>
    </row>
    <row r="200">
      <c r="P200" s="14"/>
      <c r="Q200" s="14"/>
      <c r="T200" s="14"/>
      <c r="U200" s="14"/>
      <c r="V200" s="14"/>
      <c r="W200" s="14"/>
    </row>
    <row r="201">
      <c r="P201" s="14"/>
      <c r="Q201" s="14"/>
      <c r="T201" s="14"/>
      <c r="U201" s="14"/>
      <c r="V201" s="14"/>
      <c r="W201" s="14"/>
    </row>
    <row r="202">
      <c r="P202" s="14"/>
      <c r="Q202" s="14"/>
      <c r="T202" s="14"/>
      <c r="U202" s="14"/>
      <c r="V202" s="14"/>
      <c r="W202" s="14"/>
    </row>
    <row r="203">
      <c r="P203" s="14"/>
      <c r="Q203" s="14"/>
      <c r="T203" s="14"/>
      <c r="U203" s="14"/>
      <c r="V203" s="14"/>
      <c r="W203" s="14"/>
    </row>
    <row r="204">
      <c r="P204" s="14"/>
      <c r="Q204" s="14"/>
      <c r="T204" s="14"/>
      <c r="U204" s="14"/>
      <c r="V204" s="14"/>
      <c r="W204" s="14"/>
    </row>
    <row r="205">
      <c r="P205" s="14"/>
      <c r="Q205" s="14"/>
      <c r="T205" s="14"/>
      <c r="U205" s="14"/>
      <c r="V205" s="14"/>
      <c r="W205" s="14"/>
    </row>
    <row r="206">
      <c r="P206" s="14"/>
      <c r="Q206" s="14"/>
      <c r="T206" s="14"/>
      <c r="U206" s="14"/>
      <c r="V206" s="14"/>
      <c r="W206" s="14"/>
    </row>
    <row r="207">
      <c r="P207" s="14"/>
      <c r="Q207" s="14"/>
      <c r="T207" s="14"/>
      <c r="U207" s="14"/>
      <c r="V207" s="14"/>
      <c r="W207" s="14"/>
    </row>
    <row r="208">
      <c r="P208" s="14"/>
      <c r="Q208" s="14"/>
      <c r="T208" s="14"/>
      <c r="U208" s="14"/>
      <c r="V208" s="14"/>
      <c r="W208" s="14"/>
    </row>
    <row r="209">
      <c r="P209" s="14"/>
      <c r="Q209" s="14"/>
      <c r="T209" s="14"/>
      <c r="U209" s="14"/>
      <c r="V209" s="14"/>
      <c r="W209" s="14"/>
    </row>
    <row r="210">
      <c r="P210" s="14"/>
      <c r="Q210" s="14"/>
      <c r="T210" s="14"/>
      <c r="U210" s="14"/>
      <c r="V210" s="14"/>
      <c r="W210" s="14"/>
    </row>
    <row r="211">
      <c r="P211" s="14"/>
      <c r="Q211" s="14"/>
      <c r="T211" s="14"/>
      <c r="U211" s="14"/>
      <c r="V211" s="14"/>
      <c r="W211" s="14"/>
    </row>
    <row r="212">
      <c r="P212" s="14"/>
      <c r="Q212" s="14"/>
      <c r="T212" s="14"/>
      <c r="U212" s="14"/>
      <c r="V212" s="14"/>
      <c r="W212" s="14"/>
    </row>
    <row r="213">
      <c r="P213" s="14"/>
      <c r="Q213" s="14"/>
      <c r="T213" s="14"/>
      <c r="U213" s="14"/>
      <c r="V213" s="14"/>
      <c r="W213" s="14"/>
    </row>
    <row r="214">
      <c r="P214" s="14"/>
      <c r="Q214" s="14"/>
      <c r="T214" s="14"/>
      <c r="U214" s="14"/>
      <c r="V214" s="14"/>
      <c r="W214" s="14"/>
    </row>
    <row r="215">
      <c r="P215" s="14"/>
      <c r="Q215" s="14"/>
      <c r="T215" s="14"/>
      <c r="U215" s="14"/>
      <c r="V215" s="14"/>
      <c r="W215" s="14"/>
    </row>
    <row r="216">
      <c r="P216" s="14"/>
      <c r="Q216" s="14"/>
      <c r="T216" s="14"/>
      <c r="U216" s="14"/>
      <c r="V216" s="14"/>
      <c r="W216" s="14"/>
    </row>
    <row r="217">
      <c r="P217" s="14"/>
      <c r="Q217" s="14"/>
      <c r="T217" s="14"/>
      <c r="U217" s="14"/>
      <c r="V217" s="14"/>
      <c r="W217" s="14"/>
    </row>
    <row r="218">
      <c r="P218" s="14"/>
      <c r="Q218" s="14"/>
      <c r="T218" s="14"/>
      <c r="U218" s="14"/>
      <c r="V218" s="14"/>
      <c r="W218" s="14"/>
    </row>
    <row r="219">
      <c r="P219" s="14"/>
      <c r="Q219" s="14"/>
      <c r="T219" s="14"/>
      <c r="U219" s="14"/>
      <c r="V219" s="14"/>
      <c r="W219" s="14"/>
    </row>
    <row r="220">
      <c r="P220" s="14"/>
      <c r="Q220" s="14"/>
      <c r="T220" s="14"/>
      <c r="U220" s="14"/>
      <c r="V220" s="14"/>
      <c r="W220" s="14"/>
    </row>
    <row r="221">
      <c r="P221" s="14"/>
      <c r="Q221" s="14"/>
      <c r="T221" s="14"/>
      <c r="U221" s="14"/>
      <c r="V221" s="14"/>
      <c r="W221" s="14"/>
    </row>
    <row r="222">
      <c r="P222" s="14"/>
      <c r="Q222" s="14"/>
      <c r="T222" s="14"/>
      <c r="U222" s="14"/>
      <c r="V222" s="14"/>
      <c r="W222" s="14"/>
    </row>
    <row r="223">
      <c r="P223" s="14"/>
      <c r="Q223" s="14"/>
      <c r="T223" s="14"/>
      <c r="U223" s="14"/>
      <c r="V223" s="14"/>
      <c r="W223" s="14"/>
    </row>
    <row r="224">
      <c r="P224" s="14"/>
      <c r="Q224" s="14"/>
      <c r="T224" s="14"/>
      <c r="U224" s="14"/>
      <c r="V224" s="14"/>
      <c r="W224" s="14"/>
    </row>
    <row r="225">
      <c r="P225" s="14"/>
      <c r="Q225" s="14"/>
      <c r="T225" s="14"/>
      <c r="U225" s="14"/>
      <c r="V225" s="14"/>
      <c r="W225" s="14"/>
    </row>
    <row r="226">
      <c r="P226" s="14"/>
      <c r="Q226" s="14"/>
      <c r="T226" s="14"/>
      <c r="U226" s="14"/>
      <c r="V226" s="14"/>
      <c r="W226" s="14"/>
    </row>
    <row r="227">
      <c r="P227" s="14"/>
      <c r="Q227" s="14"/>
      <c r="T227" s="14"/>
      <c r="U227" s="14"/>
      <c r="V227" s="14"/>
      <c r="W227" s="14"/>
    </row>
    <row r="228">
      <c r="P228" s="14"/>
      <c r="Q228" s="14"/>
      <c r="T228" s="14"/>
      <c r="U228" s="14"/>
      <c r="V228" s="14"/>
      <c r="W228" s="14"/>
    </row>
    <row r="229">
      <c r="P229" s="14"/>
      <c r="Q229" s="14"/>
      <c r="T229" s="14"/>
      <c r="U229" s="14"/>
      <c r="V229" s="14"/>
      <c r="W229" s="14"/>
    </row>
    <row r="230">
      <c r="P230" s="14"/>
      <c r="Q230" s="14"/>
      <c r="T230" s="14"/>
      <c r="U230" s="14"/>
      <c r="V230" s="14"/>
      <c r="W230" s="14"/>
    </row>
    <row r="231">
      <c r="P231" s="14"/>
      <c r="Q231" s="14"/>
      <c r="T231" s="14"/>
      <c r="U231" s="14"/>
      <c r="V231" s="14"/>
      <c r="W231" s="14"/>
    </row>
    <row r="232">
      <c r="P232" s="14"/>
      <c r="Q232" s="14"/>
      <c r="T232" s="14"/>
      <c r="U232" s="14"/>
      <c r="V232" s="14"/>
      <c r="W232" s="14"/>
    </row>
    <row r="233">
      <c r="P233" s="14"/>
      <c r="Q233" s="14"/>
      <c r="T233" s="14"/>
      <c r="U233" s="14"/>
      <c r="V233" s="14"/>
      <c r="W233" s="14"/>
    </row>
    <row r="234">
      <c r="P234" s="14"/>
      <c r="Q234" s="14"/>
      <c r="T234" s="14"/>
      <c r="U234" s="14"/>
      <c r="V234" s="14"/>
      <c r="W234" s="14"/>
    </row>
    <row r="235">
      <c r="P235" s="14"/>
      <c r="Q235" s="14"/>
      <c r="T235" s="14"/>
      <c r="U235" s="14"/>
      <c r="V235" s="14"/>
      <c r="W235" s="14"/>
    </row>
    <row r="236">
      <c r="P236" s="14"/>
      <c r="Q236" s="14"/>
      <c r="T236" s="14"/>
      <c r="U236" s="14"/>
      <c r="V236" s="14"/>
      <c r="W236" s="14"/>
    </row>
    <row r="237">
      <c r="P237" s="14"/>
      <c r="Q237" s="14"/>
      <c r="T237" s="14"/>
      <c r="U237" s="14"/>
      <c r="V237" s="14"/>
      <c r="W237" s="14"/>
    </row>
    <row r="238">
      <c r="P238" s="14"/>
      <c r="Q238" s="14"/>
      <c r="T238" s="14"/>
      <c r="U238" s="14"/>
      <c r="V238" s="14"/>
      <c r="W238" s="14"/>
    </row>
    <row r="239">
      <c r="P239" s="14"/>
      <c r="Q239" s="14"/>
      <c r="T239" s="14"/>
      <c r="U239" s="14"/>
      <c r="V239" s="14"/>
      <c r="W239" s="14"/>
    </row>
    <row r="240">
      <c r="P240" s="14"/>
      <c r="Q240" s="14"/>
      <c r="T240" s="14"/>
      <c r="U240" s="14"/>
      <c r="V240" s="14"/>
      <c r="W240" s="14"/>
    </row>
    <row r="241">
      <c r="P241" s="14"/>
      <c r="Q241" s="14"/>
      <c r="T241" s="14"/>
      <c r="U241" s="14"/>
      <c r="V241" s="14"/>
      <c r="W241" s="14"/>
    </row>
    <row r="242">
      <c r="P242" s="14"/>
      <c r="Q242" s="14"/>
      <c r="T242" s="14"/>
      <c r="U242" s="14"/>
      <c r="V242" s="14"/>
      <c r="W242" s="14"/>
    </row>
    <row r="243">
      <c r="P243" s="14"/>
      <c r="Q243" s="14"/>
      <c r="T243" s="14"/>
      <c r="U243" s="14"/>
      <c r="V243" s="14"/>
      <c r="W243" s="14"/>
    </row>
    <row r="244">
      <c r="P244" s="14"/>
      <c r="Q244" s="14"/>
      <c r="T244" s="14"/>
      <c r="U244" s="14"/>
      <c r="V244" s="14"/>
      <c r="W244" s="14"/>
    </row>
    <row r="245">
      <c r="P245" s="14"/>
      <c r="Q245" s="14"/>
      <c r="T245" s="14"/>
      <c r="U245" s="14"/>
      <c r="V245" s="14"/>
      <c r="W245" s="14"/>
    </row>
    <row r="246">
      <c r="P246" s="14"/>
      <c r="Q246" s="14"/>
      <c r="T246" s="14"/>
      <c r="U246" s="14"/>
      <c r="V246" s="14"/>
      <c r="W246" s="14"/>
    </row>
    <row r="247">
      <c r="P247" s="14"/>
      <c r="Q247" s="14"/>
      <c r="T247" s="14"/>
      <c r="U247" s="14"/>
      <c r="V247" s="14"/>
      <c r="W247" s="14"/>
    </row>
    <row r="248">
      <c r="P248" s="14"/>
      <c r="Q248" s="14"/>
      <c r="T248" s="14"/>
      <c r="U248" s="14"/>
      <c r="V248" s="14"/>
      <c r="W248" s="14"/>
    </row>
    <row r="249">
      <c r="P249" s="14"/>
      <c r="Q249" s="14"/>
      <c r="T249" s="14"/>
      <c r="U249" s="14"/>
      <c r="V249" s="14"/>
      <c r="W249" s="14"/>
    </row>
    <row r="250">
      <c r="P250" s="14"/>
      <c r="Q250" s="14"/>
      <c r="T250" s="14"/>
      <c r="U250" s="14"/>
      <c r="V250" s="14"/>
      <c r="W250" s="14"/>
    </row>
    <row r="251">
      <c r="P251" s="14"/>
      <c r="Q251" s="14"/>
      <c r="T251" s="14"/>
      <c r="U251" s="14"/>
      <c r="V251" s="14"/>
      <c r="W251" s="14"/>
    </row>
    <row r="252">
      <c r="P252" s="14"/>
      <c r="Q252" s="14"/>
      <c r="T252" s="14"/>
      <c r="U252" s="14"/>
      <c r="V252" s="14"/>
      <c r="W252" s="14"/>
    </row>
    <row r="253">
      <c r="P253" s="14"/>
      <c r="Q253" s="14"/>
      <c r="T253" s="14"/>
      <c r="U253" s="14"/>
      <c r="V253" s="14"/>
      <c r="W253" s="14"/>
    </row>
    <row r="254">
      <c r="P254" s="14"/>
      <c r="Q254" s="14"/>
      <c r="T254" s="14"/>
      <c r="U254" s="14"/>
      <c r="V254" s="14"/>
      <c r="W254" s="14"/>
    </row>
    <row r="255">
      <c r="P255" s="14"/>
      <c r="Q255" s="14"/>
      <c r="T255" s="14"/>
      <c r="U255" s="14"/>
      <c r="V255" s="14"/>
      <c r="W255" s="14"/>
    </row>
    <row r="256">
      <c r="P256" s="14"/>
      <c r="Q256" s="14"/>
      <c r="T256" s="14"/>
      <c r="U256" s="14"/>
      <c r="V256" s="14"/>
      <c r="W256" s="14"/>
    </row>
    <row r="257">
      <c r="P257" s="14"/>
      <c r="Q257" s="14"/>
      <c r="T257" s="14"/>
      <c r="U257" s="14"/>
      <c r="V257" s="14"/>
      <c r="W257" s="14"/>
    </row>
    <row r="258">
      <c r="P258" s="14"/>
      <c r="Q258" s="14"/>
      <c r="T258" s="14"/>
      <c r="U258" s="14"/>
      <c r="V258" s="14"/>
      <c r="W258" s="14"/>
    </row>
    <row r="259">
      <c r="P259" s="14"/>
      <c r="Q259" s="14"/>
      <c r="T259" s="14"/>
      <c r="U259" s="14"/>
      <c r="V259" s="14"/>
      <c r="W259" s="14"/>
    </row>
    <row r="260">
      <c r="P260" s="14"/>
      <c r="Q260" s="14"/>
      <c r="T260" s="14"/>
      <c r="U260" s="14"/>
      <c r="V260" s="14"/>
      <c r="W260" s="14"/>
    </row>
    <row r="261">
      <c r="P261" s="14"/>
      <c r="Q261" s="14"/>
      <c r="T261" s="14"/>
      <c r="U261" s="14"/>
      <c r="V261" s="14"/>
      <c r="W261" s="14"/>
    </row>
    <row r="262">
      <c r="P262" s="14"/>
      <c r="Q262" s="14"/>
      <c r="T262" s="14"/>
      <c r="U262" s="14"/>
      <c r="V262" s="14"/>
      <c r="W262" s="14"/>
    </row>
    <row r="263">
      <c r="P263" s="14"/>
      <c r="Q263" s="14"/>
      <c r="T263" s="14"/>
      <c r="U263" s="14"/>
      <c r="V263" s="14"/>
      <c r="W263" s="14"/>
    </row>
    <row r="264">
      <c r="P264" s="14"/>
      <c r="Q264" s="14"/>
      <c r="T264" s="14"/>
      <c r="U264" s="14"/>
      <c r="V264" s="14"/>
      <c r="W264" s="14"/>
    </row>
    <row r="265">
      <c r="P265" s="14"/>
      <c r="Q265" s="14"/>
      <c r="T265" s="14"/>
      <c r="U265" s="14"/>
      <c r="V265" s="14"/>
      <c r="W265" s="14"/>
    </row>
    <row r="266">
      <c r="P266" s="14"/>
      <c r="Q266" s="14"/>
      <c r="T266" s="14"/>
      <c r="U266" s="14"/>
      <c r="V266" s="14"/>
      <c r="W266" s="14"/>
    </row>
    <row r="267">
      <c r="P267" s="14"/>
      <c r="Q267" s="14"/>
      <c r="T267" s="14"/>
      <c r="U267" s="14"/>
      <c r="V267" s="14"/>
      <c r="W267" s="14"/>
    </row>
    <row r="268">
      <c r="P268" s="14"/>
      <c r="Q268" s="14"/>
      <c r="T268" s="14"/>
      <c r="U268" s="14"/>
      <c r="V268" s="14"/>
      <c r="W268" s="14"/>
    </row>
    <row r="269">
      <c r="P269" s="14"/>
      <c r="Q269" s="14"/>
      <c r="T269" s="14"/>
      <c r="U269" s="14"/>
      <c r="V269" s="14"/>
      <c r="W269" s="14"/>
    </row>
    <row r="270">
      <c r="P270" s="14"/>
      <c r="Q270" s="14"/>
      <c r="T270" s="14"/>
      <c r="U270" s="14"/>
      <c r="V270" s="14"/>
      <c r="W270" s="14"/>
    </row>
    <row r="271">
      <c r="P271" s="14"/>
      <c r="Q271" s="14"/>
      <c r="T271" s="14"/>
      <c r="U271" s="14"/>
      <c r="V271" s="14"/>
      <c r="W271" s="14"/>
    </row>
    <row r="272">
      <c r="P272" s="14"/>
      <c r="Q272" s="14"/>
      <c r="T272" s="14"/>
      <c r="U272" s="14"/>
      <c r="V272" s="14"/>
      <c r="W272" s="14"/>
    </row>
    <row r="273">
      <c r="P273" s="14"/>
      <c r="Q273" s="14"/>
      <c r="T273" s="14"/>
      <c r="U273" s="14"/>
      <c r="V273" s="14"/>
      <c r="W273" s="14"/>
    </row>
    <row r="274">
      <c r="P274" s="14"/>
      <c r="Q274" s="14"/>
      <c r="T274" s="14"/>
      <c r="U274" s="14"/>
      <c r="V274" s="14"/>
      <c r="W274" s="14"/>
    </row>
    <row r="275">
      <c r="P275" s="14"/>
      <c r="Q275" s="14"/>
      <c r="T275" s="14"/>
      <c r="U275" s="14"/>
      <c r="V275" s="14"/>
      <c r="W275" s="14"/>
    </row>
    <row r="276">
      <c r="P276" s="14"/>
      <c r="Q276" s="14"/>
      <c r="T276" s="14"/>
      <c r="U276" s="14"/>
      <c r="V276" s="14"/>
      <c r="W276" s="14"/>
    </row>
    <row r="277">
      <c r="P277" s="14"/>
      <c r="Q277" s="14"/>
      <c r="T277" s="14"/>
      <c r="U277" s="14"/>
      <c r="V277" s="14"/>
      <c r="W277" s="14"/>
    </row>
    <row r="278">
      <c r="P278" s="14"/>
      <c r="Q278" s="14"/>
      <c r="T278" s="14"/>
      <c r="U278" s="14"/>
      <c r="V278" s="14"/>
      <c r="W278" s="14"/>
    </row>
    <row r="279">
      <c r="P279" s="14"/>
      <c r="Q279" s="14"/>
      <c r="T279" s="14"/>
      <c r="U279" s="14"/>
      <c r="V279" s="14"/>
      <c r="W279" s="14"/>
    </row>
    <row r="280">
      <c r="P280" s="14"/>
      <c r="Q280" s="14"/>
      <c r="T280" s="14"/>
      <c r="U280" s="14"/>
      <c r="V280" s="14"/>
      <c r="W280" s="14"/>
    </row>
    <row r="281">
      <c r="P281" s="14"/>
      <c r="Q281" s="14"/>
      <c r="T281" s="14"/>
      <c r="U281" s="14"/>
      <c r="V281" s="14"/>
      <c r="W281" s="14"/>
    </row>
    <row r="282">
      <c r="P282" s="14"/>
      <c r="Q282" s="14"/>
      <c r="T282" s="14"/>
      <c r="U282" s="14"/>
      <c r="V282" s="14"/>
      <c r="W282" s="14"/>
    </row>
    <row r="283">
      <c r="P283" s="14"/>
      <c r="Q283" s="14"/>
      <c r="T283" s="14"/>
      <c r="U283" s="14"/>
      <c r="V283" s="14"/>
      <c r="W283" s="14"/>
    </row>
    <row r="284">
      <c r="P284" s="14"/>
      <c r="Q284" s="14"/>
      <c r="T284" s="14"/>
      <c r="U284" s="14"/>
      <c r="V284" s="14"/>
      <c r="W284" s="14"/>
    </row>
    <row r="285">
      <c r="P285" s="14"/>
      <c r="Q285" s="14"/>
      <c r="T285" s="14"/>
      <c r="U285" s="14"/>
      <c r="V285" s="14"/>
      <c r="W285" s="14"/>
    </row>
    <row r="286">
      <c r="P286" s="14"/>
      <c r="Q286" s="14"/>
      <c r="T286" s="14"/>
      <c r="U286" s="14"/>
      <c r="V286" s="14"/>
      <c r="W286" s="14"/>
    </row>
    <row r="287">
      <c r="P287" s="14"/>
      <c r="Q287" s="14"/>
      <c r="T287" s="14"/>
      <c r="U287" s="14"/>
      <c r="V287" s="14"/>
      <c r="W287" s="14"/>
    </row>
    <row r="288">
      <c r="P288" s="14"/>
      <c r="Q288" s="14"/>
      <c r="T288" s="14"/>
      <c r="U288" s="14"/>
      <c r="V288" s="14"/>
      <c r="W288" s="14"/>
    </row>
    <row r="289">
      <c r="P289" s="14"/>
      <c r="Q289" s="14"/>
      <c r="T289" s="14"/>
      <c r="U289" s="14"/>
      <c r="V289" s="14"/>
      <c r="W289" s="14"/>
    </row>
    <row r="290">
      <c r="P290" s="14"/>
      <c r="Q290" s="14"/>
      <c r="T290" s="14"/>
      <c r="U290" s="14"/>
      <c r="V290" s="14"/>
      <c r="W290" s="14"/>
    </row>
    <row r="291">
      <c r="P291" s="14"/>
      <c r="Q291" s="14"/>
      <c r="T291" s="14"/>
      <c r="U291" s="14"/>
      <c r="V291" s="14"/>
      <c r="W291" s="14"/>
    </row>
    <row r="292">
      <c r="P292" s="14"/>
      <c r="Q292" s="14"/>
      <c r="T292" s="14"/>
      <c r="U292" s="14"/>
      <c r="V292" s="14"/>
      <c r="W292" s="14"/>
    </row>
    <row r="293">
      <c r="P293" s="14"/>
      <c r="Q293" s="14"/>
      <c r="T293" s="14"/>
      <c r="U293" s="14"/>
      <c r="V293" s="14"/>
      <c r="W293" s="14"/>
    </row>
    <row r="294">
      <c r="P294" s="14"/>
      <c r="Q294" s="14"/>
      <c r="T294" s="14"/>
      <c r="U294" s="14"/>
      <c r="V294" s="14"/>
      <c r="W294" s="14"/>
    </row>
    <row r="295">
      <c r="P295" s="14"/>
      <c r="Q295" s="14"/>
      <c r="T295" s="14"/>
      <c r="U295" s="14"/>
      <c r="V295" s="14"/>
      <c r="W295" s="14"/>
    </row>
    <row r="296">
      <c r="P296" s="14"/>
      <c r="Q296" s="14"/>
      <c r="T296" s="14"/>
      <c r="U296" s="14"/>
      <c r="V296" s="14"/>
      <c r="W296" s="14"/>
    </row>
    <row r="297">
      <c r="P297" s="14"/>
      <c r="Q297" s="14"/>
      <c r="T297" s="14"/>
      <c r="U297" s="14"/>
      <c r="V297" s="14"/>
      <c r="W297" s="14"/>
    </row>
    <row r="298">
      <c r="P298" s="14"/>
      <c r="Q298" s="14"/>
      <c r="T298" s="14"/>
      <c r="U298" s="14"/>
      <c r="V298" s="14"/>
      <c r="W298" s="14"/>
    </row>
    <row r="299">
      <c r="P299" s="14"/>
      <c r="Q299" s="14"/>
      <c r="T299" s="14"/>
      <c r="U299" s="14"/>
      <c r="V299" s="14"/>
      <c r="W299" s="14"/>
    </row>
    <row r="300">
      <c r="P300" s="14"/>
      <c r="Q300" s="14"/>
      <c r="T300" s="14"/>
      <c r="U300" s="14"/>
      <c r="V300" s="14"/>
      <c r="W300" s="14"/>
    </row>
    <row r="301">
      <c r="P301" s="14"/>
      <c r="Q301" s="14"/>
      <c r="T301" s="14"/>
      <c r="U301" s="14"/>
      <c r="V301" s="14"/>
      <c r="W301" s="14"/>
    </row>
    <row r="302">
      <c r="P302" s="14"/>
      <c r="Q302" s="14"/>
      <c r="T302" s="14"/>
      <c r="U302" s="14"/>
      <c r="V302" s="14"/>
      <c r="W302" s="14"/>
    </row>
    <row r="303">
      <c r="P303" s="14"/>
      <c r="Q303" s="14"/>
      <c r="T303" s="14"/>
      <c r="U303" s="14"/>
      <c r="V303" s="14"/>
      <c r="W303" s="14"/>
    </row>
    <row r="304">
      <c r="P304" s="14"/>
      <c r="Q304" s="14"/>
      <c r="T304" s="14"/>
      <c r="U304" s="14"/>
      <c r="V304" s="14"/>
      <c r="W304" s="14"/>
    </row>
    <row r="305">
      <c r="P305" s="14"/>
      <c r="Q305" s="14"/>
      <c r="T305" s="14"/>
      <c r="U305" s="14"/>
      <c r="V305" s="14"/>
      <c r="W305" s="14"/>
    </row>
    <row r="306">
      <c r="P306" s="14"/>
      <c r="Q306" s="14"/>
      <c r="T306" s="14"/>
      <c r="U306" s="14"/>
      <c r="V306" s="14"/>
      <c r="W306" s="14"/>
    </row>
    <row r="307">
      <c r="P307" s="14"/>
      <c r="Q307" s="14"/>
      <c r="T307" s="14"/>
      <c r="U307" s="14"/>
      <c r="V307" s="14"/>
      <c r="W307" s="14"/>
    </row>
    <row r="308">
      <c r="P308" s="14"/>
      <c r="Q308" s="14"/>
      <c r="T308" s="14"/>
      <c r="U308" s="14"/>
      <c r="V308" s="14"/>
      <c r="W308" s="14"/>
    </row>
    <row r="309">
      <c r="P309" s="14"/>
      <c r="Q309" s="14"/>
      <c r="T309" s="14"/>
      <c r="U309" s="14"/>
      <c r="V309" s="14"/>
      <c r="W309" s="14"/>
    </row>
    <row r="310">
      <c r="P310" s="14"/>
      <c r="Q310" s="14"/>
      <c r="T310" s="14"/>
      <c r="U310" s="14"/>
      <c r="V310" s="14"/>
      <c r="W310" s="14"/>
    </row>
    <row r="311">
      <c r="P311" s="14"/>
      <c r="Q311" s="14"/>
      <c r="T311" s="14"/>
      <c r="U311" s="14"/>
      <c r="V311" s="14"/>
      <c r="W311" s="14"/>
    </row>
    <row r="312">
      <c r="P312" s="14"/>
      <c r="Q312" s="14"/>
      <c r="T312" s="14"/>
      <c r="U312" s="14"/>
      <c r="V312" s="14"/>
      <c r="W312" s="14"/>
    </row>
    <row r="313">
      <c r="P313" s="14"/>
      <c r="Q313" s="14"/>
      <c r="T313" s="14"/>
      <c r="U313" s="14"/>
      <c r="V313" s="14"/>
      <c r="W313" s="14"/>
    </row>
    <row r="314">
      <c r="P314" s="14"/>
      <c r="Q314" s="14"/>
      <c r="T314" s="14"/>
      <c r="U314" s="14"/>
      <c r="V314" s="14"/>
      <c r="W314" s="14"/>
    </row>
    <row r="315">
      <c r="P315" s="14"/>
      <c r="Q315" s="14"/>
      <c r="T315" s="14"/>
      <c r="U315" s="14"/>
      <c r="V315" s="14"/>
      <c r="W315" s="14"/>
    </row>
    <row r="316">
      <c r="P316" s="14"/>
      <c r="Q316" s="14"/>
      <c r="T316" s="14"/>
      <c r="U316" s="14"/>
      <c r="V316" s="14"/>
      <c r="W316" s="14"/>
    </row>
    <row r="317">
      <c r="P317" s="14"/>
      <c r="Q317" s="14"/>
      <c r="T317" s="14"/>
      <c r="U317" s="14"/>
      <c r="V317" s="14"/>
      <c r="W317" s="14"/>
    </row>
    <row r="318">
      <c r="P318" s="14"/>
      <c r="Q318" s="14"/>
      <c r="T318" s="14"/>
      <c r="U318" s="14"/>
      <c r="V318" s="14"/>
      <c r="W318" s="14"/>
    </row>
    <row r="319">
      <c r="P319" s="14"/>
      <c r="Q319" s="14"/>
      <c r="T319" s="14"/>
      <c r="U319" s="14"/>
      <c r="V319" s="14"/>
      <c r="W319" s="14"/>
    </row>
    <row r="320">
      <c r="P320" s="14"/>
      <c r="Q320" s="14"/>
      <c r="T320" s="14"/>
      <c r="U320" s="14"/>
      <c r="V320" s="14"/>
      <c r="W320" s="14"/>
    </row>
    <row r="321">
      <c r="P321" s="14"/>
      <c r="Q321" s="14"/>
      <c r="T321" s="14"/>
      <c r="U321" s="14"/>
      <c r="V321" s="14"/>
      <c r="W321" s="14"/>
    </row>
    <row r="322">
      <c r="P322" s="14"/>
      <c r="Q322" s="14"/>
      <c r="T322" s="14"/>
      <c r="U322" s="14"/>
      <c r="V322" s="14"/>
      <c r="W322" s="14"/>
    </row>
    <row r="323">
      <c r="P323" s="14"/>
      <c r="Q323" s="14"/>
      <c r="T323" s="14"/>
      <c r="U323" s="14"/>
      <c r="V323" s="14"/>
      <c r="W323" s="14"/>
    </row>
    <row r="324">
      <c r="P324" s="14"/>
      <c r="Q324" s="14"/>
      <c r="T324" s="14"/>
      <c r="U324" s="14"/>
      <c r="V324" s="14"/>
      <c r="W324" s="14"/>
    </row>
    <row r="325">
      <c r="P325" s="14"/>
      <c r="Q325" s="14"/>
      <c r="T325" s="14"/>
      <c r="U325" s="14"/>
      <c r="V325" s="14"/>
      <c r="W325" s="14"/>
    </row>
    <row r="326">
      <c r="P326" s="14"/>
      <c r="Q326" s="14"/>
      <c r="T326" s="14"/>
      <c r="U326" s="14"/>
      <c r="V326" s="14"/>
      <c r="W326" s="14"/>
    </row>
    <row r="327">
      <c r="P327" s="14"/>
      <c r="Q327" s="14"/>
      <c r="T327" s="14"/>
      <c r="U327" s="14"/>
      <c r="V327" s="14"/>
      <c r="W327" s="14"/>
    </row>
    <row r="328">
      <c r="P328" s="14"/>
      <c r="Q328" s="14"/>
      <c r="T328" s="14"/>
      <c r="U328" s="14"/>
      <c r="V328" s="14"/>
      <c r="W328" s="14"/>
    </row>
    <row r="329">
      <c r="P329" s="14"/>
      <c r="Q329" s="14"/>
      <c r="T329" s="14"/>
      <c r="U329" s="14"/>
      <c r="V329" s="14"/>
      <c r="W329" s="14"/>
    </row>
    <row r="330">
      <c r="P330" s="14"/>
      <c r="Q330" s="14"/>
      <c r="T330" s="14"/>
      <c r="U330" s="14"/>
      <c r="V330" s="14"/>
      <c r="W330" s="14"/>
    </row>
    <row r="331">
      <c r="P331" s="14"/>
      <c r="Q331" s="14"/>
      <c r="T331" s="14"/>
      <c r="U331" s="14"/>
      <c r="V331" s="14"/>
      <c r="W331" s="14"/>
    </row>
    <row r="332">
      <c r="P332" s="14"/>
      <c r="Q332" s="14"/>
      <c r="T332" s="14"/>
      <c r="U332" s="14"/>
      <c r="V332" s="14"/>
      <c r="W332" s="14"/>
    </row>
    <row r="333">
      <c r="P333" s="14"/>
      <c r="Q333" s="14"/>
      <c r="T333" s="14"/>
      <c r="U333" s="14"/>
      <c r="V333" s="14"/>
      <c r="W333" s="14"/>
    </row>
    <row r="334">
      <c r="P334" s="14"/>
      <c r="Q334" s="14"/>
      <c r="T334" s="14"/>
      <c r="U334" s="14"/>
      <c r="V334" s="14"/>
      <c r="W334" s="14"/>
    </row>
    <row r="335">
      <c r="P335" s="14"/>
      <c r="Q335" s="14"/>
      <c r="T335" s="14"/>
      <c r="U335" s="14"/>
      <c r="V335" s="14"/>
      <c r="W335" s="14"/>
    </row>
    <row r="336">
      <c r="P336" s="14"/>
      <c r="Q336" s="14"/>
      <c r="T336" s="14"/>
      <c r="U336" s="14"/>
      <c r="V336" s="14"/>
      <c r="W336" s="14"/>
    </row>
    <row r="337">
      <c r="P337" s="14"/>
      <c r="Q337" s="14"/>
      <c r="T337" s="14"/>
      <c r="U337" s="14"/>
      <c r="V337" s="14"/>
      <c r="W337" s="14"/>
    </row>
    <row r="338">
      <c r="P338" s="14"/>
      <c r="Q338" s="14"/>
      <c r="T338" s="14"/>
      <c r="U338" s="14"/>
      <c r="V338" s="14"/>
      <c r="W338" s="14"/>
    </row>
    <row r="339">
      <c r="P339" s="14"/>
      <c r="Q339" s="14"/>
      <c r="T339" s="14"/>
      <c r="U339" s="14"/>
      <c r="V339" s="14"/>
      <c r="W339" s="14"/>
    </row>
    <row r="340">
      <c r="P340" s="14"/>
      <c r="Q340" s="14"/>
      <c r="T340" s="14"/>
      <c r="U340" s="14"/>
      <c r="V340" s="14"/>
      <c r="W340" s="14"/>
    </row>
    <row r="341">
      <c r="P341" s="14"/>
      <c r="Q341" s="14"/>
      <c r="T341" s="14"/>
      <c r="U341" s="14"/>
      <c r="V341" s="14"/>
      <c r="W341" s="14"/>
    </row>
    <row r="342">
      <c r="P342" s="14"/>
      <c r="Q342" s="14"/>
      <c r="T342" s="14"/>
      <c r="U342" s="14"/>
      <c r="V342" s="14"/>
      <c r="W342" s="14"/>
    </row>
    <row r="343">
      <c r="P343" s="14"/>
      <c r="Q343" s="14"/>
      <c r="T343" s="14"/>
      <c r="U343" s="14"/>
      <c r="V343" s="14"/>
      <c r="W343" s="14"/>
    </row>
    <row r="344">
      <c r="P344" s="14"/>
      <c r="Q344" s="14"/>
      <c r="T344" s="14"/>
      <c r="U344" s="14"/>
      <c r="V344" s="14"/>
      <c r="W344" s="14"/>
    </row>
    <row r="345">
      <c r="P345" s="14"/>
      <c r="Q345" s="14"/>
      <c r="T345" s="14"/>
      <c r="U345" s="14"/>
      <c r="V345" s="14"/>
      <c r="W345" s="14"/>
    </row>
    <row r="346">
      <c r="P346" s="14"/>
      <c r="Q346" s="14"/>
      <c r="T346" s="14"/>
      <c r="U346" s="14"/>
      <c r="V346" s="14"/>
      <c r="W346" s="14"/>
    </row>
    <row r="347">
      <c r="P347" s="14"/>
      <c r="Q347" s="14"/>
      <c r="T347" s="14"/>
      <c r="U347" s="14"/>
      <c r="V347" s="14"/>
      <c r="W347" s="14"/>
    </row>
    <row r="348">
      <c r="P348" s="14"/>
      <c r="Q348" s="14"/>
      <c r="T348" s="14"/>
      <c r="U348" s="14"/>
      <c r="V348" s="14"/>
      <c r="W348" s="14"/>
    </row>
    <row r="349">
      <c r="P349" s="14"/>
      <c r="Q349" s="14"/>
      <c r="T349" s="14"/>
      <c r="U349" s="14"/>
      <c r="V349" s="14"/>
      <c r="W349" s="14"/>
    </row>
    <row r="350">
      <c r="P350" s="14"/>
      <c r="Q350" s="14"/>
      <c r="T350" s="14"/>
      <c r="U350" s="14"/>
      <c r="V350" s="14"/>
      <c r="W350" s="14"/>
    </row>
    <row r="351">
      <c r="P351" s="14"/>
      <c r="Q351" s="14"/>
      <c r="T351" s="14"/>
      <c r="U351" s="14"/>
      <c r="V351" s="14"/>
      <c r="W351" s="14"/>
    </row>
    <row r="352">
      <c r="P352" s="14"/>
      <c r="Q352" s="14"/>
      <c r="T352" s="14"/>
      <c r="U352" s="14"/>
      <c r="V352" s="14"/>
      <c r="W352" s="14"/>
    </row>
    <row r="353">
      <c r="P353" s="14"/>
      <c r="Q353" s="14"/>
      <c r="T353" s="14"/>
      <c r="U353" s="14"/>
      <c r="V353" s="14"/>
      <c r="W353" s="14"/>
    </row>
    <row r="354">
      <c r="P354" s="14"/>
      <c r="Q354" s="14"/>
      <c r="T354" s="14"/>
      <c r="U354" s="14"/>
      <c r="V354" s="14"/>
      <c r="W354" s="14"/>
    </row>
    <row r="355">
      <c r="P355" s="14"/>
      <c r="Q355" s="14"/>
      <c r="T355" s="14"/>
      <c r="U355" s="14"/>
      <c r="V355" s="14"/>
      <c r="W355" s="14"/>
    </row>
    <row r="356">
      <c r="P356" s="14"/>
      <c r="Q356" s="14"/>
      <c r="T356" s="14"/>
      <c r="U356" s="14"/>
      <c r="V356" s="14"/>
      <c r="W356" s="14"/>
    </row>
    <row r="357">
      <c r="P357" s="14"/>
      <c r="Q357" s="14"/>
      <c r="T357" s="14"/>
      <c r="U357" s="14"/>
      <c r="V357" s="14"/>
      <c r="W357" s="14"/>
    </row>
    <row r="358">
      <c r="P358" s="14"/>
      <c r="Q358" s="14"/>
      <c r="T358" s="14"/>
      <c r="U358" s="14"/>
      <c r="V358" s="14"/>
      <c r="W358" s="14"/>
    </row>
    <row r="359">
      <c r="P359" s="14"/>
      <c r="Q359" s="14"/>
      <c r="T359" s="14"/>
      <c r="U359" s="14"/>
      <c r="V359" s="14"/>
      <c r="W359" s="14"/>
    </row>
    <row r="360">
      <c r="P360" s="14"/>
      <c r="Q360" s="14"/>
      <c r="T360" s="14"/>
      <c r="U360" s="14"/>
      <c r="V360" s="14"/>
      <c r="W360" s="14"/>
    </row>
    <row r="361">
      <c r="P361" s="14"/>
      <c r="Q361" s="14"/>
      <c r="T361" s="14"/>
      <c r="U361" s="14"/>
      <c r="V361" s="14"/>
      <c r="W361" s="14"/>
    </row>
    <row r="362">
      <c r="P362" s="14"/>
      <c r="Q362" s="14"/>
      <c r="T362" s="14"/>
      <c r="U362" s="14"/>
      <c r="V362" s="14"/>
      <c r="W362" s="14"/>
    </row>
    <row r="363">
      <c r="P363" s="14"/>
      <c r="Q363" s="14"/>
      <c r="T363" s="14"/>
      <c r="U363" s="14"/>
      <c r="V363" s="14"/>
      <c r="W363" s="14"/>
    </row>
    <row r="364">
      <c r="P364" s="14"/>
      <c r="Q364" s="14"/>
      <c r="T364" s="14"/>
      <c r="U364" s="14"/>
      <c r="V364" s="14"/>
      <c r="W364" s="14"/>
    </row>
    <row r="365">
      <c r="P365" s="14"/>
      <c r="Q365" s="14"/>
      <c r="T365" s="14"/>
      <c r="U365" s="14"/>
      <c r="V365" s="14"/>
      <c r="W365" s="14"/>
    </row>
    <row r="366">
      <c r="P366" s="14"/>
      <c r="Q366" s="14"/>
      <c r="T366" s="14"/>
      <c r="U366" s="14"/>
      <c r="V366" s="14"/>
      <c r="W366" s="14"/>
    </row>
    <row r="367">
      <c r="P367" s="14"/>
      <c r="Q367" s="14"/>
      <c r="T367" s="14"/>
      <c r="U367" s="14"/>
      <c r="V367" s="14"/>
      <c r="W367" s="14"/>
    </row>
    <row r="368">
      <c r="P368" s="14"/>
      <c r="Q368" s="14"/>
      <c r="T368" s="14"/>
      <c r="U368" s="14"/>
      <c r="V368" s="14"/>
      <c r="W368" s="14"/>
    </row>
    <row r="369">
      <c r="P369" s="14"/>
      <c r="Q369" s="14"/>
      <c r="T369" s="14"/>
      <c r="U369" s="14"/>
      <c r="V369" s="14"/>
      <c r="W369" s="14"/>
    </row>
    <row r="370">
      <c r="P370" s="14"/>
      <c r="Q370" s="14"/>
      <c r="T370" s="14"/>
      <c r="U370" s="14"/>
      <c r="V370" s="14"/>
      <c r="W370" s="14"/>
    </row>
    <row r="371">
      <c r="P371" s="14"/>
      <c r="Q371" s="14"/>
      <c r="T371" s="14"/>
      <c r="U371" s="14"/>
      <c r="V371" s="14"/>
      <c r="W371" s="14"/>
    </row>
    <row r="372">
      <c r="P372" s="14"/>
      <c r="Q372" s="14"/>
      <c r="T372" s="14"/>
      <c r="U372" s="14"/>
      <c r="V372" s="14"/>
      <c r="W372" s="14"/>
    </row>
    <row r="373">
      <c r="P373" s="14"/>
      <c r="Q373" s="14"/>
      <c r="T373" s="14"/>
      <c r="U373" s="14"/>
      <c r="V373" s="14"/>
      <c r="W373" s="14"/>
    </row>
    <row r="374">
      <c r="P374" s="14"/>
      <c r="Q374" s="14"/>
      <c r="T374" s="14"/>
      <c r="U374" s="14"/>
      <c r="V374" s="14"/>
      <c r="W374" s="14"/>
    </row>
    <row r="375">
      <c r="P375" s="14"/>
      <c r="Q375" s="14"/>
      <c r="T375" s="14"/>
      <c r="U375" s="14"/>
      <c r="V375" s="14"/>
      <c r="W375" s="14"/>
    </row>
    <row r="376">
      <c r="P376" s="14"/>
      <c r="Q376" s="14"/>
      <c r="T376" s="14"/>
      <c r="U376" s="14"/>
      <c r="V376" s="14"/>
      <c r="W376" s="14"/>
    </row>
    <row r="377">
      <c r="P377" s="14"/>
      <c r="Q377" s="14"/>
      <c r="T377" s="14"/>
      <c r="U377" s="14"/>
      <c r="V377" s="14"/>
      <c r="W377" s="14"/>
    </row>
    <row r="378">
      <c r="P378" s="14"/>
      <c r="Q378" s="14"/>
      <c r="T378" s="14"/>
      <c r="U378" s="14"/>
      <c r="V378" s="14"/>
      <c r="W378" s="14"/>
    </row>
    <row r="379">
      <c r="P379" s="14"/>
      <c r="Q379" s="14"/>
      <c r="T379" s="14"/>
      <c r="U379" s="14"/>
      <c r="V379" s="14"/>
      <c r="W379" s="14"/>
    </row>
    <row r="380">
      <c r="P380" s="14"/>
      <c r="Q380" s="14"/>
      <c r="T380" s="14"/>
      <c r="U380" s="14"/>
      <c r="V380" s="14"/>
      <c r="W380" s="14"/>
    </row>
    <row r="381">
      <c r="P381" s="14"/>
      <c r="Q381" s="14"/>
      <c r="T381" s="14"/>
      <c r="U381" s="14"/>
      <c r="V381" s="14"/>
      <c r="W381" s="14"/>
    </row>
    <row r="382">
      <c r="P382" s="14"/>
      <c r="Q382" s="14"/>
      <c r="T382" s="14"/>
      <c r="U382" s="14"/>
      <c r="V382" s="14"/>
      <c r="W382" s="14"/>
    </row>
    <row r="383">
      <c r="P383" s="14"/>
      <c r="Q383" s="14"/>
      <c r="T383" s="14"/>
      <c r="U383" s="14"/>
      <c r="V383" s="14"/>
      <c r="W383" s="14"/>
    </row>
    <row r="384">
      <c r="P384" s="14"/>
      <c r="Q384" s="14"/>
      <c r="T384" s="14"/>
      <c r="U384" s="14"/>
      <c r="V384" s="14"/>
      <c r="W384" s="14"/>
    </row>
    <row r="385">
      <c r="P385" s="14"/>
      <c r="Q385" s="14"/>
      <c r="T385" s="14"/>
      <c r="U385" s="14"/>
      <c r="V385" s="14"/>
      <c r="W385" s="14"/>
    </row>
    <row r="386">
      <c r="P386" s="14"/>
      <c r="Q386" s="14"/>
      <c r="T386" s="14"/>
      <c r="U386" s="14"/>
      <c r="V386" s="14"/>
      <c r="W386" s="14"/>
    </row>
    <row r="387">
      <c r="P387" s="14"/>
      <c r="Q387" s="14"/>
      <c r="T387" s="14"/>
      <c r="U387" s="14"/>
      <c r="V387" s="14"/>
      <c r="W387" s="14"/>
    </row>
    <row r="388">
      <c r="P388" s="14"/>
      <c r="Q388" s="14"/>
      <c r="T388" s="14"/>
      <c r="U388" s="14"/>
      <c r="V388" s="14"/>
      <c r="W388" s="14"/>
    </row>
    <row r="389">
      <c r="P389" s="14"/>
      <c r="Q389" s="14"/>
      <c r="T389" s="14"/>
      <c r="U389" s="14"/>
      <c r="V389" s="14"/>
      <c r="W389" s="14"/>
    </row>
    <row r="390">
      <c r="P390" s="14"/>
      <c r="Q390" s="14"/>
      <c r="T390" s="14"/>
      <c r="U390" s="14"/>
      <c r="V390" s="14"/>
      <c r="W390" s="14"/>
    </row>
    <row r="391">
      <c r="P391" s="14"/>
      <c r="Q391" s="14"/>
      <c r="T391" s="14"/>
      <c r="U391" s="14"/>
      <c r="V391" s="14"/>
      <c r="W391" s="14"/>
    </row>
    <row r="392">
      <c r="P392" s="14"/>
      <c r="Q392" s="14"/>
      <c r="T392" s="14"/>
      <c r="U392" s="14"/>
      <c r="V392" s="14"/>
      <c r="W392" s="14"/>
    </row>
    <row r="393">
      <c r="P393" s="14"/>
      <c r="Q393" s="14"/>
      <c r="T393" s="14"/>
      <c r="U393" s="14"/>
      <c r="V393" s="14"/>
      <c r="W393" s="14"/>
    </row>
    <row r="394">
      <c r="P394" s="14"/>
      <c r="Q394" s="14"/>
      <c r="T394" s="14"/>
      <c r="U394" s="14"/>
      <c r="V394" s="14"/>
      <c r="W394" s="14"/>
    </row>
    <row r="395">
      <c r="P395" s="14"/>
      <c r="Q395" s="14"/>
      <c r="T395" s="14"/>
      <c r="U395" s="14"/>
      <c r="V395" s="14"/>
      <c r="W395" s="14"/>
    </row>
    <row r="396">
      <c r="P396" s="14"/>
      <c r="Q396" s="14"/>
      <c r="T396" s="14"/>
      <c r="U396" s="14"/>
      <c r="V396" s="14"/>
      <c r="W396" s="14"/>
    </row>
    <row r="397">
      <c r="P397" s="14"/>
      <c r="Q397" s="14"/>
      <c r="T397" s="14"/>
      <c r="U397" s="14"/>
      <c r="V397" s="14"/>
      <c r="W397" s="14"/>
    </row>
    <row r="398">
      <c r="P398" s="14"/>
      <c r="Q398" s="14"/>
      <c r="T398" s="14"/>
      <c r="U398" s="14"/>
      <c r="V398" s="14"/>
      <c r="W398" s="14"/>
    </row>
    <row r="399">
      <c r="P399" s="14"/>
      <c r="Q399" s="14"/>
      <c r="T399" s="14"/>
      <c r="U399" s="14"/>
      <c r="V399" s="14"/>
      <c r="W399" s="14"/>
    </row>
    <row r="400">
      <c r="P400" s="14"/>
      <c r="Q400" s="14"/>
      <c r="T400" s="14"/>
      <c r="U400" s="14"/>
      <c r="V400" s="14"/>
      <c r="W400" s="14"/>
    </row>
    <row r="401">
      <c r="P401" s="14"/>
      <c r="Q401" s="14"/>
      <c r="T401" s="14"/>
      <c r="U401" s="14"/>
      <c r="V401" s="14"/>
      <c r="W401" s="14"/>
    </row>
    <row r="402">
      <c r="P402" s="14"/>
      <c r="Q402" s="14"/>
      <c r="T402" s="14"/>
      <c r="U402" s="14"/>
      <c r="V402" s="14"/>
      <c r="W402" s="14"/>
    </row>
    <row r="403">
      <c r="P403" s="14"/>
      <c r="Q403" s="14"/>
      <c r="T403" s="14"/>
      <c r="U403" s="14"/>
      <c r="V403" s="14"/>
      <c r="W403" s="14"/>
    </row>
    <row r="404">
      <c r="P404" s="14"/>
      <c r="Q404" s="14"/>
      <c r="T404" s="14"/>
      <c r="U404" s="14"/>
      <c r="V404" s="14"/>
      <c r="W404" s="14"/>
    </row>
    <row r="405">
      <c r="P405" s="14"/>
      <c r="Q405" s="14"/>
      <c r="T405" s="14"/>
      <c r="U405" s="14"/>
      <c r="V405" s="14"/>
      <c r="W405" s="14"/>
    </row>
    <row r="406">
      <c r="P406" s="14"/>
      <c r="Q406" s="14"/>
      <c r="T406" s="14"/>
      <c r="U406" s="14"/>
      <c r="V406" s="14"/>
      <c r="W406" s="14"/>
    </row>
    <row r="407">
      <c r="P407" s="14"/>
      <c r="Q407" s="14"/>
      <c r="T407" s="14"/>
      <c r="U407" s="14"/>
      <c r="V407" s="14"/>
      <c r="W407" s="14"/>
    </row>
    <row r="408">
      <c r="P408" s="14"/>
      <c r="Q408" s="14"/>
      <c r="T408" s="14"/>
      <c r="U408" s="14"/>
      <c r="V408" s="14"/>
      <c r="W408" s="14"/>
    </row>
    <row r="409">
      <c r="P409" s="14"/>
      <c r="Q409" s="14"/>
      <c r="T409" s="14"/>
      <c r="U409" s="14"/>
      <c r="V409" s="14"/>
      <c r="W409" s="14"/>
    </row>
    <row r="410">
      <c r="P410" s="14"/>
      <c r="Q410" s="14"/>
      <c r="T410" s="14"/>
      <c r="U410" s="14"/>
      <c r="V410" s="14"/>
      <c r="W410" s="14"/>
    </row>
    <row r="411">
      <c r="P411" s="14"/>
      <c r="Q411" s="14"/>
      <c r="T411" s="14"/>
      <c r="U411" s="14"/>
      <c r="V411" s="14"/>
      <c r="W411" s="14"/>
    </row>
    <row r="412">
      <c r="P412" s="14"/>
      <c r="Q412" s="14"/>
      <c r="T412" s="14"/>
      <c r="U412" s="14"/>
      <c r="V412" s="14"/>
      <c r="W412" s="14"/>
    </row>
    <row r="413">
      <c r="P413" s="14"/>
      <c r="Q413" s="14"/>
      <c r="T413" s="14"/>
      <c r="U413" s="14"/>
      <c r="V413" s="14"/>
      <c r="W413" s="14"/>
    </row>
    <row r="414">
      <c r="P414" s="14"/>
      <c r="Q414" s="14"/>
      <c r="T414" s="14"/>
      <c r="U414" s="14"/>
      <c r="V414" s="14"/>
      <c r="W414" s="14"/>
    </row>
    <row r="415">
      <c r="P415" s="14"/>
      <c r="Q415" s="14"/>
      <c r="T415" s="14"/>
      <c r="U415" s="14"/>
      <c r="V415" s="14"/>
      <c r="W415" s="14"/>
    </row>
    <row r="416">
      <c r="P416" s="14"/>
      <c r="Q416" s="14"/>
      <c r="T416" s="14"/>
      <c r="U416" s="14"/>
      <c r="V416" s="14"/>
      <c r="W416" s="14"/>
    </row>
    <row r="417">
      <c r="P417" s="14"/>
      <c r="Q417" s="14"/>
      <c r="T417" s="14"/>
      <c r="U417" s="14"/>
      <c r="V417" s="14"/>
      <c r="W417" s="14"/>
    </row>
    <row r="418">
      <c r="P418" s="14"/>
      <c r="Q418" s="14"/>
      <c r="T418" s="14"/>
      <c r="U418" s="14"/>
      <c r="V418" s="14"/>
      <c r="W418" s="14"/>
    </row>
    <row r="419">
      <c r="P419" s="14"/>
      <c r="Q419" s="14"/>
      <c r="T419" s="14"/>
      <c r="U419" s="14"/>
      <c r="V419" s="14"/>
      <c r="W419" s="14"/>
    </row>
    <row r="420">
      <c r="P420" s="14"/>
      <c r="Q420" s="14"/>
      <c r="T420" s="14"/>
      <c r="U420" s="14"/>
      <c r="V420" s="14"/>
      <c r="W420" s="14"/>
    </row>
    <row r="421">
      <c r="P421" s="14"/>
      <c r="Q421" s="14"/>
      <c r="T421" s="14"/>
      <c r="U421" s="14"/>
      <c r="V421" s="14"/>
      <c r="W421" s="14"/>
    </row>
    <row r="422">
      <c r="P422" s="14"/>
      <c r="Q422" s="14"/>
      <c r="T422" s="14"/>
      <c r="U422" s="14"/>
      <c r="V422" s="14"/>
      <c r="W422" s="14"/>
    </row>
    <row r="423">
      <c r="P423" s="14"/>
      <c r="Q423" s="14"/>
      <c r="T423" s="14"/>
      <c r="U423" s="14"/>
      <c r="V423" s="14"/>
      <c r="W423" s="14"/>
    </row>
    <row r="424">
      <c r="P424" s="14"/>
      <c r="Q424" s="14"/>
      <c r="T424" s="14"/>
      <c r="U424" s="14"/>
      <c r="V424" s="14"/>
      <c r="W424" s="14"/>
    </row>
    <row r="425">
      <c r="P425" s="14"/>
      <c r="Q425" s="14"/>
      <c r="T425" s="14"/>
      <c r="U425" s="14"/>
      <c r="V425" s="14"/>
      <c r="W425" s="14"/>
    </row>
    <row r="426">
      <c r="P426" s="14"/>
      <c r="Q426" s="14"/>
      <c r="T426" s="14"/>
      <c r="U426" s="14"/>
      <c r="V426" s="14"/>
      <c r="W426" s="14"/>
    </row>
    <row r="427">
      <c r="P427" s="14"/>
      <c r="Q427" s="14"/>
      <c r="T427" s="14"/>
      <c r="U427" s="14"/>
      <c r="V427" s="14"/>
      <c r="W427" s="14"/>
    </row>
    <row r="428">
      <c r="P428" s="14"/>
      <c r="Q428" s="14"/>
      <c r="T428" s="14"/>
      <c r="U428" s="14"/>
      <c r="V428" s="14"/>
      <c r="W428" s="14"/>
    </row>
    <row r="429">
      <c r="P429" s="14"/>
      <c r="Q429" s="14"/>
      <c r="T429" s="14"/>
      <c r="U429" s="14"/>
      <c r="V429" s="14"/>
      <c r="W429" s="14"/>
    </row>
    <row r="430">
      <c r="P430" s="14"/>
      <c r="Q430" s="14"/>
      <c r="T430" s="14"/>
      <c r="U430" s="14"/>
      <c r="V430" s="14"/>
      <c r="W430" s="14"/>
    </row>
    <row r="431">
      <c r="P431" s="14"/>
      <c r="Q431" s="14"/>
      <c r="T431" s="14"/>
      <c r="U431" s="14"/>
      <c r="V431" s="14"/>
      <c r="W431" s="14"/>
    </row>
    <row r="432">
      <c r="P432" s="14"/>
      <c r="Q432" s="14"/>
      <c r="T432" s="14"/>
      <c r="U432" s="14"/>
      <c r="V432" s="14"/>
      <c r="W432" s="14"/>
    </row>
    <row r="433">
      <c r="P433" s="14"/>
      <c r="Q433" s="14"/>
      <c r="T433" s="14"/>
      <c r="U433" s="14"/>
      <c r="V433" s="14"/>
      <c r="W433" s="14"/>
    </row>
    <row r="434">
      <c r="P434" s="14"/>
      <c r="Q434" s="14"/>
      <c r="T434" s="14"/>
      <c r="U434" s="14"/>
      <c r="V434" s="14"/>
      <c r="W434" s="14"/>
    </row>
    <row r="435">
      <c r="P435" s="14"/>
      <c r="Q435" s="14"/>
      <c r="T435" s="14"/>
      <c r="U435" s="14"/>
      <c r="V435" s="14"/>
      <c r="W435" s="14"/>
    </row>
    <row r="436">
      <c r="P436" s="14"/>
      <c r="Q436" s="14"/>
      <c r="T436" s="14"/>
      <c r="U436" s="14"/>
      <c r="V436" s="14"/>
      <c r="W436" s="14"/>
    </row>
    <row r="437">
      <c r="P437" s="14"/>
      <c r="Q437" s="14"/>
      <c r="T437" s="14"/>
      <c r="U437" s="14"/>
      <c r="V437" s="14"/>
      <c r="W437" s="14"/>
    </row>
    <row r="438">
      <c r="P438" s="14"/>
      <c r="Q438" s="14"/>
      <c r="T438" s="14"/>
      <c r="U438" s="14"/>
      <c r="V438" s="14"/>
      <c r="W438" s="14"/>
    </row>
    <row r="439">
      <c r="P439" s="14"/>
      <c r="Q439" s="14"/>
      <c r="T439" s="14"/>
      <c r="U439" s="14"/>
      <c r="V439" s="14"/>
      <c r="W439" s="14"/>
    </row>
    <row r="440">
      <c r="P440" s="14"/>
      <c r="Q440" s="14"/>
      <c r="T440" s="14"/>
      <c r="U440" s="14"/>
      <c r="V440" s="14"/>
      <c r="W440" s="14"/>
    </row>
    <row r="441">
      <c r="P441" s="14"/>
      <c r="Q441" s="14"/>
      <c r="T441" s="14"/>
      <c r="U441" s="14"/>
      <c r="V441" s="14"/>
      <c r="W441" s="14"/>
    </row>
    <row r="442">
      <c r="P442" s="14"/>
      <c r="Q442" s="14"/>
      <c r="T442" s="14"/>
      <c r="U442" s="14"/>
      <c r="V442" s="14"/>
      <c r="W442" s="14"/>
    </row>
    <row r="443">
      <c r="P443" s="14"/>
      <c r="Q443" s="14"/>
      <c r="T443" s="14"/>
      <c r="U443" s="14"/>
      <c r="V443" s="14"/>
      <c r="W443" s="14"/>
    </row>
    <row r="444">
      <c r="P444" s="14"/>
      <c r="Q444" s="14"/>
      <c r="T444" s="14"/>
      <c r="U444" s="14"/>
      <c r="V444" s="14"/>
      <c r="W444" s="14"/>
    </row>
    <row r="445">
      <c r="P445" s="14"/>
      <c r="Q445" s="14"/>
      <c r="T445" s="14"/>
      <c r="U445" s="14"/>
      <c r="V445" s="14"/>
      <c r="W445" s="14"/>
    </row>
    <row r="446">
      <c r="P446" s="14"/>
      <c r="Q446" s="14"/>
      <c r="T446" s="14"/>
      <c r="U446" s="14"/>
      <c r="V446" s="14"/>
      <c r="W446" s="14"/>
    </row>
    <row r="447">
      <c r="P447" s="14"/>
      <c r="Q447" s="14"/>
      <c r="T447" s="14"/>
      <c r="U447" s="14"/>
      <c r="V447" s="14"/>
      <c r="W447" s="14"/>
    </row>
    <row r="448">
      <c r="P448" s="14"/>
      <c r="Q448" s="14"/>
      <c r="T448" s="14"/>
      <c r="U448" s="14"/>
      <c r="V448" s="14"/>
      <c r="W448" s="14"/>
    </row>
    <row r="449">
      <c r="P449" s="14"/>
      <c r="Q449" s="14"/>
      <c r="T449" s="14"/>
      <c r="U449" s="14"/>
      <c r="V449" s="14"/>
      <c r="W449" s="14"/>
    </row>
    <row r="450">
      <c r="P450" s="14"/>
      <c r="Q450" s="14"/>
      <c r="T450" s="14"/>
      <c r="U450" s="14"/>
      <c r="V450" s="14"/>
      <c r="W450" s="14"/>
    </row>
    <row r="451">
      <c r="P451" s="14"/>
      <c r="Q451" s="14"/>
      <c r="T451" s="14"/>
      <c r="U451" s="14"/>
      <c r="V451" s="14"/>
      <c r="W451" s="14"/>
    </row>
    <row r="452">
      <c r="P452" s="14"/>
      <c r="Q452" s="14"/>
      <c r="T452" s="14"/>
      <c r="U452" s="14"/>
      <c r="V452" s="14"/>
      <c r="W452" s="14"/>
    </row>
    <row r="453">
      <c r="P453" s="14"/>
      <c r="Q453" s="14"/>
      <c r="T453" s="14"/>
      <c r="U453" s="14"/>
      <c r="V453" s="14"/>
      <c r="W453" s="14"/>
    </row>
    <row r="454">
      <c r="P454" s="14"/>
      <c r="Q454" s="14"/>
      <c r="T454" s="14"/>
      <c r="U454" s="14"/>
      <c r="V454" s="14"/>
      <c r="W454" s="14"/>
    </row>
    <row r="455">
      <c r="P455" s="14"/>
      <c r="Q455" s="14"/>
      <c r="T455" s="14"/>
      <c r="U455" s="14"/>
      <c r="V455" s="14"/>
      <c r="W455" s="14"/>
    </row>
    <row r="456">
      <c r="P456" s="14"/>
      <c r="Q456" s="14"/>
      <c r="T456" s="14"/>
      <c r="U456" s="14"/>
      <c r="V456" s="14"/>
      <c r="W456" s="14"/>
    </row>
    <row r="457">
      <c r="P457" s="14"/>
      <c r="Q457" s="14"/>
      <c r="T457" s="14"/>
      <c r="U457" s="14"/>
      <c r="V457" s="14"/>
      <c r="W457" s="14"/>
    </row>
    <row r="458">
      <c r="P458" s="14"/>
      <c r="Q458" s="14"/>
      <c r="T458" s="14"/>
      <c r="U458" s="14"/>
      <c r="V458" s="14"/>
      <c r="W458" s="14"/>
    </row>
    <row r="459">
      <c r="P459" s="14"/>
      <c r="Q459" s="14"/>
      <c r="T459" s="14"/>
      <c r="U459" s="14"/>
      <c r="V459" s="14"/>
      <c r="W459" s="14"/>
    </row>
    <row r="460">
      <c r="P460" s="14"/>
      <c r="Q460" s="14"/>
      <c r="T460" s="14"/>
      <c r="U460" s="14"/>
      <c r="V460" s="14"/>
      <c r="W460" s="14"/>
    </row>
    <row r="461">
      <c r="P461" s="14"/>
      <c r="Q461" s="14"/>
      <c r="T461" s="14"/>
      <c r="U461" s="14"/>
      <c r="V461" s="14"/>
      <c r="W461" s="14"/>
    </row>
    <row r="462">
      <c r="P462" s="14"/>
      <c r="Q462" s="14"/>
      <c r="T462" s="14"/>
      <c r="U462" s="14"/>
      <c r="V462" s="14"/>
      <c r="W462" s="14"/>
    </row>
    <row r="463">
      <c r="P463" s="14"/>
      <c r="Q463" s="14"/>
      <c r="T463" s="14"/>
      <c r="U463" s="14"/>
      <c r="V463" s="14"/>
      <c r="W463" s="14"/>
    </row>
    <row r="464">
      <c r="P464" s="14"/>
      <c r="Q464" s="14"/>
      <c r="T464" s="14"/>
      <c r="U464" s="14"/>
      <c r="V464" s="14"/>
      <c r="W464" s="14"/>
    </row>
    <row r="465">
      <c r="P465" s="14"/>
      <c r="Q465" s="14"/>
      <c r="T465" s="14"/>
      <c r="U465" s="14"/>
      <c r="V465" s="14"/>
      <c r="W465" s="14"/>
    </row>
    <row r="466">
      <c r="P466" s="14"/>
      <c r="Q466" s="14"/>
      <c r="T466" s="14"/>
      <c r="U466" s="14"/>
      <c r="V466" s="14"/>
      <c r="W466" s="14"/>
    </row>
    <row r="467">
      <c r="P467" s="14"/>
      <c r="Q467" s="14"/>
      <c r="T467" s="14"/>
      <c r="U467" s="14"/>
      <c r="V467" s="14"/>
      <c r="W467" s="14"/>
    </row>
    <row r="468">
      <c r="P468" s="14"/>
      <c r="Q468" s="14"/>
      <c r="T468" s="14"/>
      <c r="U468" s="14"/>
      <c r="V468" s="14"/>
      <c r="W468" s="14"/>
    </row>
    <row r="469">
      <c r="P469" s="14"/>
      <c r="Q469" s="14"/>
      <c r="T469" s="14"/>
      <c r="U469" s="14"/>
      <c r="V469" s="14"/>
      <c r="W469" s="14"/>
    </row>
    <row r="470">
      <c r="P470" s="14"/>
      <c r="Q470" s="14"/>
      <c r="T470" s="14"/>
      <c r="U470" s="14"/>
      <c r="V470" s="14"/>
      <c r="W470" s="14"/>
    </row>
    <row r="471">
      <c r="P471" s="14"/>
      <c r="Q471" s="14"/>
      <c r="T471" s="14"/>
      <c r="U471" s="14"/>
      <c r="V471" s="14"/>
      <c r="W471" s="14"/>
    </row>
    <row r="472">
      <c r="P472" s="14"/>
      <c r="Q472" s="14"/>
      <c r="T472" s="14"/>
      <c r="U472" s="14"/>
      <c r="V472" s="14"/>
      <c r="W472" s="14"/>
    </row>
    <row r="473">
      <c r="P473" s="14"/>
      <c r="Q473" s="14"/>
      <c r="T473" s="14"/>
      <c r="U473" s="14"/>
      <c r="V473" s="14"/>
      <c r="W473" s="14"/>
    </row>
    <row r="474">
      <c r="P474" s="14"/>
      <c r="Q474" s="14"/>
      <c r="T474" s="14"/>
      <c r="U474" s="14"/>
      <c r="V474" s="14"/>
      <c r="W474" s="14"/>
    </row>
    <row r="475">
      <c r="P475" s="14"/>
      <c r="Q475" s="14"/>
      <c r="T475" s="14"/>
      <c r="U475" s="14"/>
      <c r="V475" s="14"/>
      <c r="W475" s="14"/>
    </row>
    <row r="476">
      <c r="P476" s="14"/>
      <c r="Q476" s="14"/>
      <c r="T476" s="14"/>
      <c r="U476" s="14"/>
      <c r="V476" s="14"/>
      <c r="W476" s="14"/>
    </row>
    <row r="477">
      <c r="P477" s="14"/>
      <c r="Q477" s="14"/>
      <c r="T477" s="14"/>
      <c r="U477" s="14"/>
      <c r="V477" s="14"/>
      <c r="W477" s="14"/>
    </row>
    <row r="478">
      <c r="P478" s="14"/>
      <c r="Q478" s="14"/>
      <c r="T478" s="14"/>
      <c r="U478" s="14"/>
      <c r="V478" s="14"/>
      <c r="W478" s="14"/>
    </row>
    <row r="479">
      <c r="P479" s="14"/>
      <c r="Q479" s="14"/>
      <c r="T479" s="14"/>
      <c r="U479" s="14"/>
      <c r="V479" s="14"/>
      <c r="W479" s="14"/>
    </row>
    <row r="480">
      <c r="P480" s="14"/>
      <c r="Q480" s="14"/>
      <c r="T480" s="14"/>
      <c r="U480" s="14"/>
      <c r="V480" s="14"/>
      <c r="W480" s="14"/>
    </row>
    <row r="481">
      <c r="P481" s="14"/>
      <c r="Q481" s="14"/>
      <c r="T481" s="14"/>
      <c r="U481" s="14"/>
      <c r="V481" s="14"/>
      <c r="W481" s="14"/>
    </row>
    <row r="482">
      <c r="P482" s="14"/>
      <c r="Q482" s="14"/>
      <c r="T482" s="14"/>
      <c r="U482" s="14"/>
      <c r="V482" s="14"/>
      <c r="W482" s="14"/>
    </row>
    <row r="483">
      <c r="P483" s="14"/>
      <c r="Q483" s="14"/>
      <c r="T483" s="14"/>
      <c r="U483" s="14"/>
      <c r="V483" s="14"/>
      <c r="W483" s="14"/>
    </row>
    <row r="484">
      <c r="P484" s="14"/>
      <c r="Q484" s="14"/>
      <c r="T484" s="14"/>
      <c r="U484" s="14"/>
      <c r="V484" s="14"/>
      <c r="W484" s="14"/>
    </row>
    <row r="485">
      <c r="P485" s="14"/>
      <c r="Q485" s="14"/>
      <c r="T485" s="14"/>
      <c r="U485" s="14"/>
      <c r="V485" s="14"/>
      <c r="W485" s="14"/>
    </row>
    <row r="486">
      <c r="P486" s="14"/>
      <c r="Q486" s="14"/>
      <c r="T486" s="14"/>
      <c r="U486" s="14"/>
      <c r="V486" s="14"/>
      <c r="W486" s="14"/>
    </row>
    <row r="487">
      <c r="P487" s="14"/>
      <c r="Q487" s="14"/>
      <c r="T487" s="14"/>
      <c r="U487" s="14"/>
      <c r="V487" s="14"/>
      <c r="W487" s="14"/>
    </row>
    <row r="488">
      <c r="P488" s="14"/>
      <c r="Q488" s="14"/>
      <c r="T488" s="14"/>
      <c r="U488" s="14"/>
      <c r="V488" s="14"/>
      <c r="W488" s="14"/>
    </row>
    <row r="489">
      <c r="P489" s="14"/>
      <c r="Q489" s="14"/>
      <c r="T489" s="14"/>
      <c r="U489" s="14"/>
      <c r="V489" s="14"/>
      <c r="W489" s="14"/>
    </row>
    <row r="490">
      <c r="P490" s="14"/>
      <c r="Q490" s="14"/>
      <c r="T490" s="14"/>
      <c r="U490" s="14"/>
      <c r="V490" s="14"/>
      <c r="W490" s="14"/>
    </row>
    <row r="491">
      <c r="P491" s="14"/>
      <c r="Q491" s="14"/>
      <c r="T491" s="14"/>
      <c r="U491" s="14"/>
      <c r="V491" s="14"/>
      <c r="W491" s="14"/>
    </row>
    <row r="492">
      <c r="P492" s="14"/>
      <c r="Q492" s="14"/>
      <c r="T492" s="14"/>
      <c r="U492" s="14"/>
      <c r="V492" s="14"/>
      <c r="W492" s="14"/>
    </row>
    <row r="493">
      <c r="P493" s="14"/>
      <c r="Q493" s="14"/>
      <c r="T493" s="14"/>
      <c r="U493" s="14"/>
      <c r="V493" s="14"/>
      <c r="W493" s="14"/>
    </row>
    <row r="494">
      <c r="P494" s="14"/>
      <c r="Q494" s="14"/>
      <c r="T494" s="14"/>
      <c r="U494" s="14"/>
      <c r="V494" s="14"/>
      <c r="W494" s="14"/>
    </row>
    <row r="495">
      <c r="P495" s="14"/>
      <c r="Q495" s="14"/>
      <c r="T495" s="14"/>
      <c r="U495" s="14"/>
      <c r="V495" s="14"/>
      <c r="W495" s="14"/>
    </row>
    <row r="496">
      <c r="P496" s="14"/>
      <c r="Q496" s="14"/>
      <c r="T496" s="14"/>
      <c r="U496" s="14"/>
      <c r="V496" s="14"/>
      <c r="W496" s="14"/>
    </row>
    <row r="497">
      <c r="P497" s="14"/>
      <c r="Q497" s="14"/>
      <c r="T497" s="14"/>
      <c r="U497" s="14"/>
      <c r="V497" s="14"/>
      <c r="W497" s="14"/>
    </row>
    <row r="498">
      <c r="P498" s="14"/>
      <c r="Q498" s="14"/>
      <c r="T498" s="14"/>
      <c r="U498" s="14"/>
      <c r="V498" s="14"/>
      <c r="W498" s="14"/>
    </row>
    <row r="499">
      <c r="P499" s="14"/>
      <c r="Q499" s="14"/>
      <c r="T499" s="14"/>
      <c r="U499" s="14"/>
      <c r="V499" s="14"/>
      <c r="W499" s="14"/>
    </row>
    <row r="500">
      <c r="P500" s="14"/>
      <c r="Q500" s="14"/>
      <c r="T500" s="14"/>
      <c r="U500" s="14"/>
      <c r="V500" s="14"/>
      <c r="W500" s="14"/>
    </row>
    <row r="501">
      <c r="P501" s="14"/>
      <c r="Q501" s="14"/>
      <c r="T501" s="14"/>
      <c r="U501" s="14"/>
      <c r="V501" s="14"/>
      <c r="W501" s="14"/>
    </row>
    <row r="502">
      <c r="P502" s="14"/>
      <c r="Q502" s="14"/>
      <c r="T502" s="14"/>
      <c r="U502" s="14"/>
      <c r="V502" s="14"/>
      <c r="W502" s="14"/>
    </row>
    <row r="503">
      <c r="P503" s="14"/>
      <c r="Q503" s="14"/>
      <c r="T503" s="14"/>
      <c r="U503" s="14"/>
      <c r="V503" s="14"/>
      <c r="W503" s="14"/>
    </row>
    <row r="504">
      <c r="P504" s="14"/>
      <c r="Q504" s="14"/>
      <c r="T504" s="14"/>
      <c r="U504" s="14"/>
      <c r="V504" s="14"/>
      <c r="W504" s="14"/>
    </row>
    <row r="505">
      <c r="P505" s="14"/>
      <c r="Q505" s="14"/>
      <c r="T505" s="14"/>
      <c r="U505" s="14"/>
      <c r="V505" s="14"/>
      <c r="W505" s="14"/>
    </row>
    <row r="506">
      <c r="P506" s="14"/>
      <c r="Q506" s="14"/>
      <c r="T506" s="14"/>
      <c r="U506" s="14"/>
      <c r="V506" s="14"/>
      <c r="W506" s="14"/>
    </row>
    <row r="507">
      <c r="P507" s="14"/>
      <c r="Q507" s="14"/>
      <c r="T507" s="14"/>
      <c r="U507" s="14"/>
      <c r="V507" s="14"/>
      <c r="W507" s="14"/>
    </row>
    <row r="508">
      <c r="P508" s="14"/>
      <c r="Q508" s="14"/>
      <c r="T508" s="14"/>
      <c r="U508" s="14"/>
      <c r="V508" s="14"/>
      <c r="W508" s="14"/>
    </row>
    <row r="509">
      <c r="P509" s="14"/>
      <c r="Q509" s="14"/>
      <c r="T509" s="14"/>
      <c r="U509" s="14"/>
      <c r="V509" s="14"/>
      <c r="W509" s="14"/>
    </row>
    <row r="510">
      <c r="P510" s="14"/>
      <c r="Q510" s="14"/>
      <c r="T510" s="14"/>
      <c r="U510" s="14"/>
      <c r="V510" s="14"/>
      <c r="W510" s="14"/>
    </row>
    <row r="511">
      <c r="P511" s="14"/>
      <c r="Q511" s="14"/>
      <c r="T511" s="14"/>
      <c r="U511" s="14"/>
      <c r="V511" s="14"/>
      <c r="W511" s="14"/>
    </row>
    <row r="512">
      <c r="P512" s="14"/>
      <c r="Q512" s="14"/>
      <c r="T512" s="14"/>
      <c r="U512" s="14"/>
      <c r="V512" s="14"/>
      <c r="W512" s="14"/>
    </row>
    <row r="513">
      <c r="P513" s="14"/>
      <c r="Q513" s="14"/>
      <c r="T513" s="14"/>
      <c r="U513" s="14"/>
      <c r="V513" s="14"/>
      <c r="W513" s="14"/>
    </row>
    <row r="514">
      <c r="P514" s="14"/>
      <c r="Q514" s="14"/>
      <c r="T514" s="14"/>
      <c r="U514" s="14"/>
      <c r="V514" s="14"/>
      <c r="W514" s="14"/>
    </row>
    <row r="515">
      <c r="P515" s="14"/>
      <c r="Q515" s="14"/>
      <c r="T515" s="14"/>
      <c r="U515" s="14"/>
      <c r="V515" s="14"/>
      <c r="W515" s="14"/>
    </row>
    <row r="516">
      <c r="P516" s="14"/>
      <c r="Q516" s="14"/>
      <c r="T516" s="14"/>
      <c r="U516" s="14"/>
      <c r="V516" s="14"/>
      <c r="W516" s="14"/>
    </row>
    <row r="517">
      <c r="P517" s="14"/>
      <c r="Q517" s="14"/>
      <c r="T517" s="14"/>
      <c r="U517" s="14"/>
      <c r="V517" s="14"/>
      <c r="W517" s="14"/>
    </row>
    <row r="518">
      <c r="P518" s="14"/>
      <c r="Q518" s="14"/>
      <c r="T518" s="14"/>
      <c r="U518" s="14"/>
      <c r="V518" s="14"/>
      <c r="W518" s="14"/>
    </row>
    <row r="519">
      <c r="P519" s="14"/>
      <c r="Q519" s="14"/>
      <c r="T519" s="14"/>
      <c r="U519" s="14"/>
      <c r="V519" s="14"/>
      <c r="W519" s="14"/>
    </row>
    <row r="520">
      <c r="P520" s="14"/>
      <c r="Q520" s="14"/>
      <c r="T520" s="14"/>
      <c r="U520" s="14"/>
      <c r="V520" s="14"/>
      <c r="W520" s="14"/>
    </row>
    <row r="521">
      <c r="P521" s="14"/>
      <c r="Q521" s="14"/>
      <c r="T521" s="14"/>
      <c r="U521" s="14"/>
      <c r="V521" s="14"/>
      <c r="W521" s="14"/>
    </row>
    <row r="522">
      <c r="P522" s="14"/>
      <c r="Q522" s="14"/>
      <c r="T522" s="14"/>
      <c r="U522" s="14"/>
      <c r="V522" s="14"/>
      <c r="W522" s="14"/>
    </row>
    <row r="523">
      <c r="P523" s="14"/>
      <c r="Q523" s="14"/>
      <c r="T523" s="14"/>
      <c r="U523" s="14"/>
      <c r="V523" s="14"/>
      <c r="W523" s="14"/>
    </row>
    <row r="524">
      <c r="P524" s="14"/>
      <c r="Q524" s="14"/>
      <c r="T524" s="14"/>
      <c r="U524" s="14"/>
      <c r="V524" s="14"/>
      <c r="W524" s="14"/>
    </row>
    <row r="525">
      <c r="P525" s="14"/>
      <c r="Q525" s="14"/>
      <c r="T525" s="14"/>
      <c r="U525" s="14"/>
      <c r="V525" s="14"/>
      <c r="W525" s="14"/>
    </row>
    <row r="526">
      <c r="P526" s="14"/>
      <c r="Q526" s="14"/>
      <c r="T526" s="14"/>
      <c r="U526" s="14"/>
      <c r="V526" s="14"/>
      <c r="W526" s="14"/>
    </row>
    <row r="527">
      <c r="P527" s="14"/>
      <c r="Q527" s="14"/>
      <c r="T527" s="14"/>
      <c r="U527" s="14"/>
      <c r="V527" s="14"/>
      <c r="W527" s="14"/>
    </row>
    <row r="528">
      <c r="P528" s="14"/>
      <c r="Q528" s="14"/>
      <c r="T528" s="14"/>
      <c r="U528" s="14"/>
      <c r="V528" s="14"/>
      <c r="W528" s="14"/>
    </row>
    <row r="529">
      <c r="P529" s="14"/>
      <c r="Q529" s="14"/>
      <c r="T529" s="14"/>
      <c r="U529" s="14"/>
      <c r="V529" s="14"/>
      <c r="W529" s="14"/>
    </row>
    <row r="530">
      <c r="P530" s="14"/>
      <c r="Q530" s="14"/>
      <c r="T530" s="14"/>
      <c r="U530" s="14"/>
      <c r="V530" s="14"/>
      <c r="W530" s="14"/>
    </row>
    <row r="531">
      <c r="P531" s="14"/>
      <c r="Q531" s="14"/>
      <c r="T531" s="14"/>
      <c r="U531" s="14"/>
      <c r="V531" s="14"/>
      <c r="W531" s="14"/>
    </row>
    <row r="532">
      <c r="P532" s="14"/>
      <c r="Q532" s="14"/>
      <c r="T532" s="14"/>
      <c r="U532" s="14"/>
      <c r="V532" s="14"/>
      <c r="W532" s="14"/>
    </row>
    <row r="533">
      <c r="P533" s="14"/>
      <c r="Q533" s="14"/>
      <c r="T533" s="14"/>
      <c r="U533" s="14"/>
      <c r="V533" s="14"/>
      <c r="W533" s="14"/>
    </row>
    <row r="534">
      <c r="P534" s="14"/>
      <c r="Q534" s="14"/>
      <c r="T534" s="14"/>
      <c r="U534" s="14"/>
      <c r="V534" s="14"/>
      <c r="W534" s="14"/>
    </row>
    <row r="535">
      <c r="P535" s="14"/>
      <c r="Q535" s="14"/>
      <c r="T535" s="14"/>
      <c r="U535" s="14"/>
      <c r="V535" s="14"/>
      <c r="W535" s="14"/>
    </row>
    <row r="536">
      <c r="P536" s="14"/>
      <c r="Q536" s="14"/>
      <c r="T536" s="14"/>
      <c r="U536" s="14"/>
      <c r="V536" s="14"/>
      <c r="W536" s="14"/>
    </row>
    <row r="537">
      <c r="P537" s="14"/>
      <c r="Q537" s="14"/>
      <c r="T537" s="14"/>
      <c r="U537" s="14"/>
      <c r="V537" s="14"/>
      <c r="W537" s="14"/>
    </row>
    <row r="538">
      <c r="P538" s="14"/>
      <c r="Q538" s="14"/>
      <c r="T538" s="14"/>
      <c r="U538" s="14"/>
      <c r="V538" s="14"/>
      <c r="W538" s="14"/>
    </row>
    <row r="539">
      <c r="P539" s="14"/>
      <c r="Q539" s="14"/>
      <c r="T539" s="14"/>
      <c r="U539" s="14"/>
      <c r="V539" s="14"/>
      <c r="W539" s="14"/>
    </row>
    <row r="540">
      <c r="P540" s="14"/>
      <c r="Q540" s="14"/>
      <c r="T540" s="14"/>
      <c r="U540" s="14"/>
      <c r="V540" s="14"/>
      <c r="W540" s="14"/>
    </row>
    <row r="541">
      <c r="P541" s="14"/>
      <c r="Q541" s="14"/>
      <c r="T541" s="14"/>
      <c r="U541" s="14"/>
      <c r="V541" s="14"/>
      <c r="W541" s="14"/>
    </row>
    <row r="542">
      <c r="P542" s="14"/>
      <c r="Q542" s="14"/>
      <c r="T542" s="14"/>
      <c r="U542" s="14"/>
      <c r="V542" s="14"/>
      <c r="W542" s="14"/>
    </row>
    <row r="543">
      <c r="P543" s="14"/>
      <c r="Q543" s="14"/>
      <c r="T543" s="14"/>
      <c r="U543" s="14"/>
      <c r="V543" s="14"/>
      <c r="W543" s="14"/>
    </row>
    <row r="544">
      <c r="P544" s="14"/>
      <c r="Q544" s="14"/>
      <c r="T544" s="14"/>
      <c r="U544" s="14"/>
      <c r="V544" s="14"/>
      <c r="W544" s="14"/>
    </row>
    <row r="545">
      <c r="P545" s="14"/>
      <c r="Q545" s="14"/>
      <c r="T545" s="14"/>
      <c r="U545" s="14"/>
      <c r="V545" s="14"/>
      <c r="W545" s="14"/>
    </row>
    <row r="546">
      <c r="P546" s="14"/>
      <c r="Q546" s="14"/>
      <c r="T546" s="14"/>
      <c r="U546" s="14"/>
      <c r="V546" s="14"/>
      <c r="W546" s="14"/>
    </row>
    <row r="547">
      <c r="P547" s="14"/>
      <c r="Q547" s="14"/>
      <c r="T547" s="14"/>
      <c r="U547" s="14"/>
      <c r="V547" s="14"/>
      <c r="W547" s="14"/>
    </row>
    <row r="548">
      <c r="P548" s="14"/>
      <c r="Q548" s="14"/>
      <c r="T548" s="14"/>
      <c r="U548" s="14"/>
      <c r="V548" s="14"/>
      <c r="W548" s="14"/>
    </row>
    <row r="549">
      <c r="P549" s="14"/>
      <c r="Q549" s="14"/>
      <c r="T549" s="14"/>
      <c r="U549" s="14"/>
      <c r="V549" s="14"/>
      <c r="W549" s="14"/>
    </row>
    <row r="550">
      <c r="P550" s="14"/>
      <c r="Q550" s="14"/>
      <c r="T550" s="14"/>
      <c r="U550" s="14"/>
      <c r="V550" s="14"/>
      <c r="W550" s="14"/>
    </row>
    <row r="551">
      <c r="P551" s="14"/>
      <c r="Q551" s="14"/>
      <c r="T551" s="14"/>
      <c r="U551" s="14"/>
      <c r="V551" s="14"/>
      <c r="W551" s="14"/>
    </row>
    <row r="552">
      <c r="P552" s="14"/>
      <c r="Q552" s="14"/>
      <c r="T552" s="14"/>
      <c r="U552" s="14"/>
      <c r="V552" s="14"/>
      <c r="W552" s="14"/>
    </row>
    <row r="553">
      <c r="P553" s="14"/>
      <c r="Q553" s="14"/>
      <c r="T553" s="14"/>
      <c r="U553" s="14"/>
      <c r="V553" s="14"/>
      <c r="W553" s="14"/>
    </row>
    <row r="554">
      <c r="P554" s="14"/>
      <c r="Q554" s="14"/>
      <c r="T554" s="14"/>
      <c r="U554" s="14"/>
      <c r="V554" s="14"/>
      <c r="W554" s="14"/>
    </row>
    <row r="555">
      <c r="P555" s="14"/>
      <c r="Q555" s="14"/>
      <c r="T555" s="14"/>
      <c r="U555" s="14"/>
      <c r="V555" s="14"/>
      <c r="W555" s="14"/>
    </row>
    <row r="556">
      <c r="P556" s="14"/>
      <c r="Q556" s="14"/>
      <c r="T556" s="14"/>
      <c r="U556" s="14"/>
      <c r="V556" s="14"/>
      <c r="W556" s="14"/>
    </row>
    <row r="557">
      <c r="P557" s="14"/>
      <c r="Q557" s="14"/>
      <c r="T557" s="14"/>
      <c r="U557" s="14"/>
      <c r="V557" s="14"/>
      <c r="W557" s="14"/>
    </row>
    <row r="558">
      <c r="P558" s="14"/>
      <c r="Q558" s="14"/>
      <c r="T558" s="14"/>
      <c r="U558" s="14"/>
      <c r="V558" s="14"/>
      <c r="W558" s="14"/>
    </row>
    <row r="559">
      <c r="P559" s="14"/>
      <c r="Q559" s="14"/>
      <c r="T559" s="14"/>
      <c r="U559" s="14"/>
      <c r="V559" s="14"/>
      <c r="W559" s="14"/>
    </row>
    <row r="560">
      <c r="P560" s="14"/>
      <c r="Q560" s="14"/>
      <c r="T560" s="14"/>
      <c r="U560" s="14"/>
      <c r="V560" s="14"/>
      <c r="W560" s="14"/>
    </row>
    <row r="561">
      <c r="P561" s="14"/>
      <c r="Q561" s="14"/>
      <c r="T561" s="14"/>
      <c r="U561" s="14"/>
      <c r="V561" s="14"/>
      <c r="W561" s="14"/>
    </row>
    <row r="562">
      <c r="P562" s="14"/>
      <c r="Q562" s="14"/>
      <c r="T562" s="14"/>
      <c r="U562" s="14"/>
      <c r="V562" s="14"/>
      <c r="W562" s="14"/>
    </row>
    <row r="563">
      <c r="P563" s="14"/>
      <c r="Q563" s="14"/>
      <c r="T563" s="14"/>
      <c r="U563" s="14"/>
      <c r="V563" s="14"/>
      <c r="W563" s="14"/>
    </row>
    <row r="564">
      <c r="P564" s="14"/>
      <c r="Q564" s="14"/>
      <c r="T564" s="14"/>
      <c r="U564" s="14"/>
      <c r="V564" s="14"/>
      <c r="W564" s="14"/>
    </row>
    <row r="565">
      <c r="P565" s="14"/>
      <c r="Q565" s="14"/>
      <c r="T565" s="14"/>
      <c r="U565" s="14"/>
      <c r="V565" s="14"/>
      <c r="W565" s="14"/>
    </row>
    <row r="566">
      <c r="P566" s="14"/>
      <c r="Q566" s="14"/>
      <c r="T566" s="14"/>
      <c r="U566" s="14"/>
      <c r="V566" s="14"/>
      <c r="W566" s="14"/>
    </row>
    <row r="567">
      <c r="P567" s="14"/>
      <c r="Q567" s="14"/>
      <c r="T567" s="14"/>
      <c r="U567" s="14"/>
      <c r="V567" s="14"/>
      <c r="W567" s="14"/>
    </row>
    <row r="568">
      <c r="P568" s="14"/>
      <c r="Q568" s="14"/>
      <c r="T568" s="14"/>
      <c r="U568" s="14"/>
      <c r="V568" s="14"/>
      <c r="W568" s="14"/>
    </row>
    <row r="569">
      <c r="P569" s="14"/>
      <c r="Q569" s="14"/>
      <c r="T569" s="14"/>
      <c r="U569" s="14"/>
      <c r="V569" s="14"/>
      <c r="W569" s="14"/>
    </row>
    <row r="570">
      <c r="P570" s="14"/>
      <c r="Q570" s="14"/>
      <c r="T570" s="14"/>
      <c r="U570" s="14"/>
      <c r="V570" s="14"/>
      <c r="W570" s="14"/>
    </row>
    <row r="571">
      <c r="P571" s="14"/>
      <c r="Q571" s="14"/>
      <c r="T571" s="14"/>
      <c r="U571" s="14"/>
      <c r="V571" s="14"/>
      <c r="W571" s="14"/>
    </row>
    <row r="572">
      <c r="P572" s="14"/>
      <c r="Q572" s="14"/>
      <c r="T572" s="14"/>
      <c r="U572" s="14"/>
      <c r="V572" s="14"/>
      <c r="W572" s="14"/>
    </row>
    <row r="573">
      <c r="P573" s="14"/>
      <c r="Q573" s="14"/>
      <c r="T573" s="14"/>
      <c r="U573" s="14"/>
      <c r="V573" s="14"/>
      <c r="W573" s="14"/>
    </row>
    <row r="574">
      <c r="P574" s="14"/>
      <c r="Q574" s="14"/>
      <c r="T574" s="14"/>
      <c r="U574" s="14"/>
      <c r="V574" s="14"/>
      <c r="W574" s="14"/>
    </row>
    <row r="575">
      <c r="P575" s="14"/>
      <c r="Q575" s="14"/>
      <c r="T575" s="14"/>
      <c r="U575" s="14"/>
      <c r="V575" s="14"/>
      <c r="W575" s="14"/>
    </row>
    <row r="576">
      <c r="P576" s="14"/>
      <c r="Q576" s="14"/>
      <c r="T576" s="14"/>
      <c r="U576" s="14"/>
      <c r="V576" s="14"/>
      <c r="W576" s="14"/>
    </row>
    <row r="577">
      <c r="P577" s="14"/>
      <c r="Q577" s="14"/>
      <c r="T577" s="14"/>
      <c r="U577" s="14"/>
      <c r="V577" s="14"/>
      <c r="W577" s="14"/>
    </row>
    <row r="578">
      <c r="P578" s="14"/>
      <c r="Q578" s="14"/>
      <c r="T578" s="14"/>
      <c r="U578" s="14"/>
      <c r="V578" s="14"/>
      <c r="W578" s="14"/>
    </row>
    <row r="579">
      <c r="P579" s="14"/>
      <c r="Q579" s="14"/>
      <c r="T579" s="14"/>
      <c r="U579" s="14"/>
      <c r="V579" s="14"/>
      <c r="W579" s="14"/>
    </row>
    <row r="580">
      <c r="P580" s="14"/>
      <c r="Q580" s="14"/>
      <c r="T580" s="14"/>
      <c r="U580" s="14"/>
      <c r="V580" s="14"/>
      <c r="W580" s="14"/>
    </row>
    <row r="581">
      <c r="P581" s="14"/>
      <c r="Q581" s="14"/>
      <c r="T581" s="14"/>
      <c r="U581" s="14"/>
      <c r="V581" s="14"/>
      <c r="W581" s="14"/>
    </row>
    <row r="582">
      <c r="P582" s="14"/>
      <c r="Q582" s="14"/>
      <c r="T582" s="14"/>
      <c r="U582" s="14"/>
      <c r="V582" s="14"/>
      <c r="W582" s="14"/>
    </row>
    <row r="583">
      <c r="P583" s="14"/>
      <c r="Q583" s="14"/>
      <c r="T583" s="14"/>
      <c r="U583" s="14"/>
      <c r="V583" s="14"/>
      <c r="W583" s="14"/>
    </row>
    <row r="584">
      <c r="P584" s="14"/>
      <c r="Q584" s="14"/>
      <c r="T584" s="14"/>
      <c r="U584" s="14"/>
      <c r="V584" s="14"/>
      <c r="W584" s="14"/>
    </row>
    <row r="585">
      <c r="P585" s="14"/>
      <c r="Q585" s="14"/>
      <c r="T585" s="14"/>
      <c r="U585" s="14"/>
      <c r="V585" s="14"/>
      <c r="W585" s="14"/>
    </row>
    <row r="586">
      <c r="P586" s="14"/>
      <c r="Q586" s="14"/>
      <c r="T586" s="14"/>
      <c r="U586" s="14"/>
      <c r="V586" s="14"/>
      <c r="W586" s="14"/>
    </row>
    <row r="587">
      <c r="P587" s="14"/>
      <c r="Q587" s="14"/>
      <c r="T587" s="14"/>
      <c r="U587" s="14"/>
      <c r="V587" s="14"/>
      <c r="W587" s="14"/>
    </row>
    <row r="588">
      <c r="P588" s="14"/>
      <c r="Q588" s="14"/>
      <c r="T588" s="14"/>
      <c r="U588" s="14"/>
      <c r="V588" s="14"/>
      <c r="W588" s="14"/>
    </row>
    <row r="589">
      <c r="P589" s="14"/>
      <c r="Q589" s="14"/>
      <c r="T589" s="14"/>
      <c r="U589" s="14"/>
      <c r="V589" s="14"/>
      <c r="W589" s="14"/>
    </row>
    <row r="590">
      <c r="P590" s="14"/>
      <c r="Q590" s="14"/>
      <c r="T590" s="14"/>
      <c r="U590" s="14"/>
      <c r="V590" s="14"/>
      <c r="W590" s="14"/>
    </row>
    <row r="591">
      <c r="P591" s="14"/>
      <c r="Q591" s="14"/>
      <c r="T591" s="14"/>
      <c r="U591" s="14"/>
      <c r="V591" s="14"/>
      <c r="W591" s="14"/>
    </row>
    <row r="592">
      <c r="P592" s="14"/>
      <c r="Q592" s="14"/>
      <c r="T592" s="14"/>
      <c r="U592" s="14"/>
      <c r="V592" s="14"/>
      <c r="W592" s="14"/>
    </row>
    <row r="593">
      <c r="P593" s="14"/>
      <c r="Q593" s="14"/>
      <c r="T593" s="14"/>
      <c r="U593" s="14"/>
      <c r="V593" s="14"/>
      <c r="W593" s="14"/>
    </row>
    <row r="594">
      <c r="P594" s="14"/>
      <c r="Q594" s="14"/>
      <c r="T594" s="14"/>
      <c r="U594" s="14"/>
      <c r="V594" s="14"/>
      <c r="W594" s="14"/>
    </row>
    <row r="595">
      <c r="P595" s="14"/>
      <c r="Q595" s="14"/>
      <c r="T595" s="14"/>
      <c r="U595" s="14"/>
      <c r="V595" s="14"/>
      <c r="W595" s="14"/>
    </row>
    <row r="596">
      <c r="P596" s="14"/>
      <c r="Q596" s="14"/>
      <c r="T596" s="14"/>
      <c r="U596" s="14"/>
      <c r="V596" s="14"/>
      <c r="W596" s="14"/>
    </row>
    <row r="597">
      <c r="P597" s="14"/>
      <c r="Q597" s="14"/>
      <c r="T597" s="14"/>
      <c r="U597" s="14"/>
      <c r="V597" s="14"/>
      <c r="W597" s="14"/>
    </row>
    <row r="598">
      <c r="P598" s="14"/>
      <c r="Q598" s="14"/>
      <c r="T598" s="14"/>
      <c r="U598" s="14"/>
      <c r="V598" s="14"/>
      <c r="W598" s="14"/>
    </row>
    <row r="599">
      <c r="P599" s="14"/>
      <c r="Q599" s="14"/>
      <c r="T599" s="14"/>
      <c r="U599" s="14"/>
      <c r="V599" s="14"/>
      <c r="W599" s="14"/>
    </row>
    <row r="600">
      <c r="P600" s="14"/>
      <c r="Q600" s="14"/>
      <c r="T600" s="14"/>
      <c r="U600" s="14"/>
      <c r="V600" s="14"/>
      <c r="W600" s="14"/>
    </row>
    <row r="601">
      <c r="P601" s="14"/>
      <c r="Q601" s="14"/>
      <c r="T601" s="14"/>
      <c r="U601" s="14"/>
      <c r="V601" s="14"/>
      <c r="W601" s="14"/>
    </row>
    <row r="602">
      <c r="P602" s="14"/>
      <c r="Q602" s="14"/>
      <c r="T602" s="14"/>
      <c r="U602" s="14"/>
      <c r="V602" s="14"/>
      <c r="W602" s="14"/>
    </row>
    <row r="603">
      <c r="P603" s="14"/>
      <c r="Q603" s="14"/>
      <c r="T603" s="14"/>
      <c r="U603" s="14"/>
      <c r="V603" s="14"/>
      <c r="W603" s="14"/>
    </row>
    <row r="604">
      <c r="P604" s="14"/>
      <c r="Q604" s="14"/>
      <c r="T604" s="14"/>
      <c r="U604" s="14"/>
      <c r="V604" s="14"/>
      <c r="W604" s="14"/>
    </row>
    <row r="605">
      <c r="P605" s="14"/>
      <c r="Q605" s="14"/>
      <c r="T605" s="14"/>
      <c r="U605" s="14"/>
      <c r="V605" s="14"/>
      <c r="W605" s="14"/>
    </row>
    <row r="606">
      <c r="P606" s="14"/>
      <c r="Q606" s="14"/>
      <c r="T606" s="14"/>
      <c r="U606" s="14"/>
      <c r="V606" s="14"/>
      <c r="W606" s="14"/>
    </row>
    <row r="607">
      <c r="P607" s="14"/>
      <c r="Q607" s="14"/>
      <c r="T607" s="14"/>
      <c r="U607" s="14"/>
      <c r="V607" s="14"/>
      <c r="W607" s="14"/>
    </row>
    <row r="608">
      <c r="P608" s="14"/>
      <c r="Q608" s="14"/>
      <c r="T608" s="14"/>
      <c r="U608" s="14"/>
      <c r="V608" s="14"/>
      <c r="W608" s="14"/>
    </row>
    <row r="609">
      <c r="P609" s="14"/>
      <c r="Q609" s="14"/>
      <c r="T609" s="14"/>
      <c r="U609" s="14"/>
      <c r="V609" s="14"/>
      <c r="W609" s="14"/>
    </row>
    <row r="610">
      <c r="P610" s="14"/>
      <c r="Q610" s="14"/>
      <c r="T610" s="14"/>
      <c r="U610" s="14"/>
      <c r="V610" s="14"/>
      <c r="W610" s="14"/>
    </row>
    <row r="611">
      <c r="P611" s="14"/>
      <c r="Q611" s="14"/>
      <c r="T611" s="14"/>
      <c r="U611" s="14"/>
      <c r="V611" s="14"/>
      <c r="W611" s="14"/>
    </row>
    <row r="612">
      <c r="P612" s="14"/>
      <c r="Q612" s="14"/>
      <c r="T612" s="14"/>
      <c r="U612" s="14"/>
      <c r="V612" s="14"/>
      <c r="W612" s="14"/>
    </row>
    <row r="613">
      <c r="P613" s="14"/>
      <c r="Q613" s="14"/>
      <c r="T613" s="14"/>
      <c r="U613" s="14"/>
      <c r="V613" s="14"/>
      <c r="W613" s="14"/>
    </row>
    <row r="614">
      <c r="P614" s="14"/>
      <c r="Q614" s="14"/>
      <c r="T614" s="14"/>
      <c r="U614" s="14"/>
      <c r="V614" s="14"/>
      <c r="W614" s="14"/>
    </row>
    <row r="615">
      <c r="P615" s="14"/>
      <c r="Q615" s="14"/>
      <c r="T615" s="14"/>
      <c r="U615" s="14"/>
      <c r="V615" s="14"/>
      <c r="W615" s="14"/>
    </row>
    <row r="616">
      <c r="P616" s="14"/>
      <c r="Q616" s="14"/>
      <c r="T616" s="14"/>
      <c r="U616" s="14"/>
      <c r="V616" s="14"/>
      <c r="W616" s="14"/>
    </row>
    <row r="617">
      <c r="P617" s="14"/>
      <c r="Q617" s="14"/>
      <c r="T617" s="14"/>
      <c r="U617" s="14"/>
      <c r="V617" s="14"/>
      <c r="W617" s="14"/>
    </row>
    <row r="618">
      <c r="P618" s="14"/>
      <c r="Q618" s="14"/>
      <c r="T618" s="14"/>
      <c r="U618" s="14"/>
      <c r="V618" s="14"/>
      <c r="W618" s="14"/>
    </row>
    <row r="619">
      <c r="P619" s="14"/>
      <c r="Q619" s="14"/>
      <c r="T619" s="14"/>
      <c r="U619" s="14"/>
      <c r="V619" s="14"/>
      <c r="W619" s="14"/>
    </row>
    <row r="620">
      <c r="P620" s="14"/>
      <c r="Q620" s="14"/>
      <c r="T620" s="14"/>
      <c r="U620" s="14"/>
      <c r="V620" s="14"/>
      <c r="W620" s="14"/>
    </row>
    <row r="621">
      <c r="P621" s="14"/>
      <c r="Q621" s="14"/>
      <c r="T621" s="14"/>
      <c r="U621" s="14"/>
      <c r="V621" s="14"/>
      <c r="W621" s="14"/>
    </row>
    <row r="622">
      <c r="P622" s="14"/>
      <c r="Q622" s="14"/>
      <c r="T622" s="14"/>
      <c r="U622" s="14"/>
      <c r="V622" s="14"/>
      <c r="W622" s="14"/>
    </row>
    <row r="623">
      <c r="P623" s="14"/>
      <c r="Q623" s="14"/>
      <c r="T623" s="14"/>
      <c r="U623" s="14"/>
      <c r="V623" s="14"/>
      <c r="W623" s="14"/>
    </row>
    <row r="624">
      <c r="P624" s="14"/>
      <c r="Q624" s="14"/>
      <c r="T624" s="14"/>
      <c r="U624" s="14"/>
      <c r="V624" s="14"/>
      <c r="W624" s="14"/>
    </row>
    <row r="625">
      <c r="P625" s="14"/>
      <c r="Q625" s="14"/>
      <c r="T625" s="14"/>
      <c r="U625" s="14"/>
      <c r="V625" s="14"/>
      <c r="W625" s="14"/>
    </row>
    <row r="626">
      <c r="P626" s="14"/>
      <c r="Q626" s="14"/>
      <c r="T626" s="14"/>
      <c r="U626" s="14"/>
      <c r="V626" s="14"/>
      <c r="W626" s="14"/>
    </row>
    <row r="627">
      <c r="P627" s="14"/>
      <c r="Q627" s="14"/>
      <c r="T627" s="14"/>
      <c r="U627" s="14"/>
      <c r="V627" s="14"/>
      <c r="W627" s="14"/>
    </row>
    <row r="628">
      <c r="P628" s="14"/>
      <c r="Q628" s="14"/>
      <c r="T628" s="14"/>
      <c r="U628" s="14"/>
      <c r="V628" s="14"/>
      <c r="W628" s="14"/>
    </row>
    <row r="629">
      <c r="P629" s="14"/>
      <c r="Q629" s="14"/>
      <c r="T629" s="14"/>
      <c r="U629" s="14"/>
      <c r="V629" s="14"/>
      <c r="W629" s="14"/>
    </row>
    <row r="630">
      <c r="P630" s="14"/>
      <c r="Q630" s="14"/>
      <c r="T630" s="14"/>
      <c r="U630" s="14"/>
      <c r="V630" s="14"/>
      <c r="W630" s="14"/>
    </row>
    <row r="631">
      <c r="P631" s="14"/>
      <c r="Q631" s="14"/>
      <c r="T631" s="14"/>
      <c r="U631" s="14"/>
      <c r="V631" s="14"/>
      <c r="W631" s="14"/>
    </row>
    <row r="632">
      <c r="P632" s="14"/>
      <c r="Q632" s="14"/>
      <c r="T632" s="14"/>
      <c r="U632" s="14"/>
      <c r="V632" s="14"/>
      <c r="W632" s="14"/>
    </row>
    <row r="633">
      <c r="P633" s="14"/>
      <c r="Q633" s="14"/>
      <c r="T633" s="14"/>
      <c r="U633" s="14"/>
      <c r="V633" s="14"/>
      <c r="W633" s="14"/>
    </row>
    <row r="634">
      <c r="P634" s="14"/>
      <c r="Q634" s="14"/>
      <c r="T634" s="14"/>
      <c r="U634" s="14"/>
      <c r="V634" s="14"/>
      <c r="W634" s="14"/>
    </row>
    <row r="635">
      <c r="P635" s="14"/>
      <c r="Q635" s="14"/>
      <c r="T635" s="14"/>
      <c r="U635" s="14"/>
      <c r="V635" s="14"/>
      <c r="W635" s="14"/>
    </row>
    <row r="636">
      <c r="P636" s="14"/>
      <c r="Q636" s="14"/>
      <c r="T636" s="14"/>
      <c r="U636" s="14"/>
      <c r="V636" s="14"/>
      <c r="W636" s="14"/>
    </row>
    <row r="637">
      <c r="P637" s="14"/>
      <c r="Q637" s="14"/>
      <c r="T637" s="14"/>
      <c r="U637" s="14"/>
      <c r="V637" s="14"/>
      <c r="W637" s="14"/>
    </row>
    <row r="638">
      <c r="P638" s="14"/>
      <c r="Q638" s="14"/>
      <c r="T638" s="14"/>
      <c r="U638" s="14"/>
      <c r="V638" s="14"/>
      <c r="W638" s="14"/>
    </row>
    <row r="639">
      <c r="P639" s="14"/>
      <c r="Q639" s="14"/>
      <c r="T639" s="14"/>
      <c r="U639" s="14"/>
      <c r="V639" s="14"/>
      <c r="W639" s="14"/>
    </row>
    <row r="640">
      <c r="P640" s="14"/>
      <c r="Q640" s="14"/>
      <c r="T640" s="14"/>
      <c r="U640" s="14"/>
      <c r="V640" s="14"/>
      <c r="W640" s="14"/>
    </row>
    <row r="641">
      <c r="P641" s="14"/>
      <c r="Q641" s="14"/>
      <c r="T641" s="14"/>
      <c r="U641" s="14"/>
      <c r="V641" s="14"/>
      <c r="W641" s="14"/>
    </row>
    <row r="642">
      <c r="P642" s="14"/>
      <c r="Q642" s="14"/>
      <c r="T642" s="14"/>
      <c r="U642" s="14"/>
      <c r="V642" s="14"/>
      <c r="W642" s="14"/>
    </row>
    <row r="643">
      <c r="P643" s="14"/>
      <c r="Q643" s="14"/>
      <c r="T643" s="14"/>
      <c r="U643" s="14"/>
      <c r="V643" s="14"/>
      <c r="W643" s="14"/>
    </row>
    <row r="644">
      <c r="P644" s="14"/>
      <c r="Q644" s="14"/>
      <c r="T644" s="14"/>
      <c r="U644" s="14"/>
      <c r="V644" s="14"/>
      <c r="W644" s="14"/>
    </row>
    <row r="645">
      <c r="P645" s="14"/>
      <c r="Q645" s="14"/>
      <c r="T645" s="14"/>
      <c r="U645" s="14"/>
      <c r="V645" s="14"/>
      <c r="W645" s="14"/>
    </row>
    <row r="646">
      <c r="P646" s="14"/>
      <c r="Q646" s="14"/>
      <c r="T646" s="14"/>
      <c r="U646" s="14"/>
      <c r="V646" s="14"/>
      <c r="W646" s="14"/>
    </row>
    <row r="647">
      <c r="P647" s="14"/>
      <c r="Q647" s="14"/>
      <c r="T647" s="14"/>
      <c r="U647" s="14"/>
      <c r="V647" s="14"/>
      <c r="W647" s="14"/>
    </row>
    <row r="648">
      <c r="P648" s="14"/>
      <c r="Q648" s="14"/>
      <c r="T648" s="14"/>
      <c r="U648" s="14"/>
      <c r="V648" s="14"/>
      <c r="W648" s="14"/>
    </row>
    <row r="649">
      <c r="P649" s="14"/>
      <c r="Q649" s="14"/>
      <c r="T649" s="14"/>
      <c r="U649" s="14"/>
      <c r="V649" s="14"/>
      <c r="W649" s="14"/>
    </row>
    <row r="650">
      <c r="P650" s="14"/>
      <c r="Q650" s="14"/>
      <c r="T650" s="14"/>
      <c r="U650" s="14"/>
      <c r="V650" s="14"/>
      <c r="W650" s="14"/>
    </row>
    <row r="651">
      <c r="P651" s="14"/>
      <c r="Q651" s="14"/>
      <c r="T651" s="14"/>
      <c r="U651" s="14"/>
      <c r="V651" s="14"/>
      <c r="W651" s="14"/>
    </row>
    <row r="652">
      <c r="P652" s="14"/>
      <c r="Q652" s="14"/>
      <c r="T652" s="14"/>
      <c r="U652" s="14"/>
      <c r="V652" s="14"/>
      <c r="W652" s="14"/>
    </row>
    <row r="653">
      <c r="P653" s="14"/>
      <c r="Q653" s="14"/>
      <c r="T653" s="14"/>
      <c r="U653" s="14"/>
      <c r="V653" s="14"/>
      <c r="W653" s="14"/>
    </row>
    <row r="654">
      <c r="P654" s="14"/>
      <c r="Q654" s="14"/>
      <c r="T654" s="14"/>
      <c r="U654" s="14"/>
      <c r="V654" s="14"/>
      <c r="W654" s="14"/>
    </row>
    <row r="655">
      <c r="P655" s="14"/>
      <c r="Q655" s="14"/>
      <c r="T655" s="14"/>
      <c r="U655" s="14"/>
      <c r="V655" s="14"/>
      <c r="W655" s="14"/>
    </row>
    <row r="656">
      <c r="P656" s="14"/>
      <c r="Q656" s="14"/>
      <c r="T656" s="14"/>
      <c r="U656" s="14"/>
      <c r="V656" s="14"/>
      <c r="W656" s="14"/>
    </row>
    <row r="657">
      <c r="P657" s="14"/>
      <c r="Q657" s="14"/>
      <c r="T657" s="14"/>
      <c r="U657" s="14"/>
      <c r="V657" s="14"/>
      <c r="W657" s="14"/>
    </row>
    <row r="658">
      <c r="P658" s="14"/>
      <c r="Q658" s="14"/>
      <c r="T658" s="14"/>
      <c r="U658" s="14"/>
      <c r="V658" s="14"/>
      <c r="W658" s="14"/>
    </row>
    <row r="659">
      <c r="P659" s="14"/>
      <c r="Q659" s="14"/>
      <c r="T659" s="14"/>
      <c r="U659" s="14"/>
      <c r="V659" s="14"/>
      <c r="W659" s="14"/>
    </row>
    <row r="660">
      <c r="P660" s="14"/>
      <c r="Q660" s="14"/>
      <c r="T660" s="14"/>
      <c r="U660" s="14"/>
      <c r="V660" s="14"/>
      <c r="W660" s="14"/>
    </row>
    <row r="661">
      <c r="P661" s="14"/>
      <c r="Q661" s="14"/>
      <c r="T661" s="14"/>
      <c r="U661" s="14"/>
      <c r="V661" s="14"/>
      <c r="W661" s="14"/>
    </row>
    <row r="662">
      <c r="P662" s="14"/>
      <c r="Q662" s="14"/>
      <c r="T662" s="14"/>
      <c r="U662" s="14"/>
      <c r="V662" s="14"/>
      <c r="W662" s="14"/>
    </row>
    <row r="663">
      <c r="P663" s="14"/>
      <c r="Q663" s="14"/>
      <c r="T663" s="14"/>
      <c r="U663" s="14"/>
      <c r="V663" s="14"/>
      <c r="W663" s="14"/>
    </row>
    <row r="664">
      <c r="P664" s="14"/>
      <c r="Q664" s="14"/>
      <c r="T664" s="14"/>
      <c r="U664" s="14"/>
      <c r="V664" s="14"/>
      <c r="W664" s="14"/>
    </row>
    <row r="665">
      <c r="P665" s="14"/>
      <c r="Q665" s="14"/>
      <c r="T665" s="14"/>
      <c r="U665" s="14"/>
      <c r="V665" s="14"/>
      <c r="W665" s="14"/>
    </row>
    <row r="666">
      <c r="P666" s="14"/>
      <c r="Q666" s="14"/>
      <c r="T666" s="14"/>
      <c r="U666" s="14"/>
      <c r="V666" s="14"/>
      <c r="W666" s="14"/>
    </row>
    <row r="667">
      <c r="P667" s="14"/>
      <c r="Q667" s="14"/>
      <c r="T667" s="14"/>
      <c r="U667" s="14"/>
      <c r="V667" s="14"/>
      <c r="W667" s="14"/>
    </row>
    <row r="668">
      <c r="P668" s="14"/>
      <c r="Q668" s="14"/>
      <c r="T668" s="14"/>
      <c r="U668" s="14"/>
      <c r="V668" s="14"/>
      <c r="W668" s="14"/>
    </row>
    <row r="669">
      <c r="P669" s="14"/>
      <c r="Q669" s="14"/>
      <c r="T669" s="14"/>
      <c r="U669" s="14"/>
      <c r="V669" s="14"/>
      <c r="W669" s="14"/>
    </row>
    <row r="670">
      <c r="P670" s="14"/>
      <c r="Q670" s="14"/>
      <c r="T670" s="14"/>
      <c r="U670" s="14"/>
      <c r="V670" s="14"/>
      <c r="W670" s="14"/>
    </row>
    <row r="671">
      <c r="P671" s="14"/>
      <c r="Q671" s="14"/>
      <c r="T671" s="14"/>
      <c r="U671" s="14"/>
      <c r="V671" s="14"/>
      <c r="W671" s="14"/>
    </row>
    <row r="672">
      <c r="P672" s="14"/>
      <c r="Q672" s="14"/>
      <c r="T672" s="14"/>
      <c r="U672" s="14"/>
      <c r="V672" s="14"/>
      <c r="W672" s="14"/>
    </row>
    <row r="673">
      <c r="P673" s="14"/>
      <c r="Q673" s="14"/>
      <c r="T673" s="14"/>
      <c r="U673" s="14"/>
      <c r="V673" s="14"/>
      <c r="W673" s="14"/>
    </row>
    <row r="674">
      <c r="P674" s="14"/>
      <c r="Q674" s="14"/>
      <c r="T674" s="14"/>
      <c r="U674" s="14"/>
      <c r="V674" s="14"/>
      <c r="W674" s="14"/>
    </row>
    <row r="675">
      <c r="P675" s="14"/>
      <c r="Q675" s="14"/>
      <c r="T675" s="14"/>
      <c r="U675" s="14"/>
      <c r="V675" s="14"/>
      <c r="W675" s="14"/>
    </row>
    <row r="676">
      <c r="P676" s="14"/>
      <c r="Q676" s="14"/>
      <c r="T676" s="14"/>
      <c r="U676" s="14"/>
      <c r="V676" s="14"/>
      <c r="W676" s="14"/>
    </row>
    <row r="677">
      <c r="P677" s="14"/>
      <c r="Q677" s="14"/>
      <c r="T677" s="14"/>
      <c r="U677" s="14"/>
      <c r="V677" s="14"/>
      <c r="W677" s="14"/>
    </row>
    <row r="678">
      <c r="P678" s="14"/>
      <c r="Q678" s="14"/>
      <c r="T678" s="14"/>
      <c r="U678" s="14"/>
      <c r="V678" s="14"/>
      <c r="W678" s="14"/>
    </row>
    <row r="679">
      <c r="P679" s="14"/>
      <c r="Q679" s="14"/>
      <c r="T679" s="14"/>
      <c r="U679" s="14"/>
      <c r="V679" s="14"/>
      <c r="W679" s="14"/>
    </row>
    <row r="680">
      <c r="P680" s="14"/>
      <c r="Q680" s="14"/>
      <c r="T680" s="14"/>
      <c r="U680" s="14"/>
      <c r="V680" s="14"/>
      <c r="W680" s="14"/>
    </row>
    <row r="681">
      <c r="P681" s="14"/>
      <c r="Q681" s="14"/>
      <c r="T681" s="14"/>
      <c r="U681" s="14"/>
      <c r="V681" s="14"/>
      <c r="W681" s="14"/>
    </row>
    <row r="682">
      <c r="P682" s="14"/>
      <c r="Q682" s="14"/>
      <c r="T682" s="14"/>
      <c r="U682" s="14"/>
      <c r="V682" s="14"/>
      <c r="W682" s="14"/>
    </row>
    <row r="683">
      <c r="P683" s="14"/>
      <c r="Q683" s="14"/>
      <c r="T683" s="14"/>
      <c r="U683" s="14"/>
      <c r="V683" s="14"/>
      <c r="W683" s="14"/>
    </row>
    <row r="684">
      <c r="P684" s="14"/>
      <c r="Q684" s="14"/>
      <c r="T684" s="14"/>
      <c r="U684" s="14"/>
      <c r="V684" s="14"/>
      <c r="W684" s="14"/>
    </row>
    <row r="685">
      <c r="P685" s="14"/>
      <c r="Q685" s="14"/>
      <c r="T685" s="14"/>
      <c r="U685" s="14"/>
      <c r="V685" s="14"/>
      <c r="W685" s="14"/>
    </row>
    <row r="686">
      <c r="P686" s="14"/>
      <c r="Q686" s="14"/>
      <c r="T686" s="14"/>
      <c r="U686" s="14"/>
      <c r="V686" s="14"/>
      <c r="W686" s="14"/>
    </row>
    <row r="687">
      <c r="P687" s="14"/>
      <c r="Q687" s="14"/>
      <c r="T687" s="14"/>
      <c r="U687" s="14"/>
      <c r="V687" s="14"/>
      <c r="W687" s="14"/>
    </row>
    <row r="688">
      <c r="P688" s="14"/>
      <c r="Q688" s="14"/>
      <c r="T688" s="14"/>
      <c r="U688" s="14"/>
      <c r="V688" s="14"/>
      <c r="W688" s="14"/>
    </row>
    <row r="689">
      <c r="P689" s="14"/>
      <c r="Q689" s="14"/>
      <c r="T689" s="14"/>
      <c r="U689" s="14"/>
      <c r="V689" s="14"/>
      <c r="W689" s="14"/>
    </row>
    <row r="690">
      <c r="P690" s="14"/>
      <c r="Q690" s="14"/>
      <c r="T690" s="14"/>
      <c r="U690" s="14"/>
      <c r="V690" s="14"/>
      <c r="W690" s="14"/>
    </row>
    <row r="691">
      <c r="P691" s="14"/>
      <c r="Q691" s="14"/>
      <c r="T691" s="14"/>
      <c r="U691" s="14"/>
      <c r="V691" s="14"/>
      <c r="W691" s="14"/>
    </row>
    <row r="692">
      <c r="P692" s="14"/>
      <c r="Q692" s="14"/>
      <c r="T692" s="14"/>
      <c r="U692" s="14"/>
      <c r="V692" s="14"/>
      <c r="W692" s="14"/>
    </row>
    <row r="693">
      <c r="P693" s="14"/>
      <c r="Q693" s="14"/>
      <c r="T693" s="14"/>
      <c r="U693" s="14"/>
      <c r="V693" s="14"/>
      <c r="W693" s="14"/>
    </row>
    <row r="694">
      <c r="P694" s="14"/>
      <c r="Q694" s="14"/>
      <c r="T694" s="14"/>
      <c r="U694" s="14"/>
      <c r="V694" s="14"/>
      <c r="W694" s="14"/>
    </row>
    <row r="695">
      <c r="P695" s="14"/>
      <c r="Q695" s="14"/>
      <c r="T695" s="14"/>
      <c r="U695" s="14"/>
      <c r="V695" s="14"/>
      <c r="W695" s="14"/>
    </row>
    <row r="696">
      <c r="P696" s="14"/>
      <c r="Q696" s="14"/>
      <c r="T696" s="14"/>
      <c r="U696" s="14"/>
      <c r="V696" s="14"/>
      <c r="W696" s="14"/>
    </row>
    <row r="697">
      <c r="P697" s="14"/>
      <c r="Q697" s="14"/>
      <c r="T697" s="14"/>
      <c r="U697" s="14"/>
      <c r="V697" s="14"/>
      <c r="W697" s="14"/>
    </row>
    <row r="698">
      <c r="P698" s="14"/>
      <c r="Q698" s="14"/>
      <c r="T698" s="14"/>
      <c r="U698" s="14"/>
      <c r="V698" s="14"/>
      <c r="W698" s="14"/>
    </row>
    <row r="699">
      <c r="P699" s="14"/>
      <c r="Q699" s="14"/>
      <c r="T699" s="14"/>
      <c r="U699" s="14"/>
      <c r="V699" s="14"/>
      <c r="W699" s="14"/>
    </row>
    <row r="700">
      <c r="P700" s="14"/>
      <c r="Q700" s="14"/>
      <c r="T700" s="14"/>
      <c r="U700" s="14"/>
      <c r="V700" s="14"/>
      <c r="W700" s="14"/>
    </row>
    <row r="701">
      <c r="P701" s="14"/>
      <c r="Q701" s="14"/>
      <c r="T701" s="14"/>
      <c r="U701" s="14"/>
      <c r="V701" s="14"/>
      <c r="W701" s="14"/>
    </row>
    <row r="702">
      <c r="P702" s="14"/>
      <c r="Q702" s="14"/>
      <c r="T702" s="14"/>
      <c r="U702" s="14"/>
      <c r="V702" s="14"/>
      <c r="W702" s="14"/>
    </row>
    <row r="703">
      <c r="P703" s="14"/>
      <c r="Q703" s="14"/>
      <c r="T703" s="14"/>
      <c r="U703" s="14"/>
      <c r="V703" s="14"/>
      <c r="W703" s="14"/>
    </row>
    <row r="704">
      <c r="P704" s="14"/>
      <c r="Q704" s="14"/>
      <c r="T704" s="14"/>
      <c r="U704" s="14"/>
      <c r="V704" s="14"/>
      <c r="W704" s="14"/>
    </row>
    <row r="705">
      <c r="P705" s="14"/>
      <c r="Q705" s="14"/>
      <c r="T705" s="14"/>
      <c r="U705" s="14"/>
      <c r="V705" s="14"/>
      <c r="W705" s="14"/>
    </row>
    <row r="706">
      <c r="P706" s="14"/>
      <c r="Q706" s="14"/>
      <c r="T706" s="14"/>
      <c r="U706" s="14"/>
      <c r="V706" s="14"/>
      <c r="W706" s="14"/>
    </row>
    <row r="707">
      <c r="P707" s="14"/>
      <c r="Q707" s="14"/>
      <c r="T707" s="14"/>
      <c r="U707" s="14"/>
      <c r="V707" s="14"/>
      <c r="W707" s="14"/>
    </row>
    <row r="708">
      <c r="P708" s="14"/>
      <c r="Q708" s="14"/>
      <c r="T708" s="14"/>
      <c r="U708" s="14"/>
      <c r="V708" s="14"/>
      <c r="W708" s="14"/>
    </row>
    <row r="709">
      <c r="P709" s="14"/>
      <c r="Q709" s="14"/>
      <c r="T709" s="14"/>
      <c r="U709" s="14"/>
      <c r="V709" s="14"/>
      <c r="W709" s="14"/>
    </row>
    <row r="710">
      <c r="P710" s="14"/>
      <c r="Q710" s="14"/>
      <c r="T710" s="14"/>
      <c r="U710" s="14"/>
      <c r="V710" s="14"/>
      <c r="W710" s="14"/>
    </row>
    <row r="711">
      <c r="P711" s="14"/>
      <c r="Q711" s="14"/>
      <c r="T711" s="14"/>
      <c r="U711" s="14"/>
      <c r="V711" s="14"/>
      <c r="W711" s="14"/>
    </row>
    <row r="712">
      <c r="P712" s="14"/>
      <c r="Q712" s="14"/>
      <c r="T712" s="14"/>
      <c r="U712" s="14"/>
      <c r="V712" s="14"/>
      <c r="W712" s="14"/>
    </row>
    <row r="713">
      <c r="P713" s="14"/>
      <c r="Q713" s="14"/>
      <c r="T713" s="14"/>
      <c r="U713" s="14"/>
      <c r="V713" s="14"/>
      <c r="W713" s="14"/>
    </row>
    <row r="714">
      <c r="P714" s="14"/>
      <c r="Q714" s="14"/>
      <c r="T714" s="14"/>
      <c r="U714" s="14"/>
      <c r="V714" s="14"/>
      <c r="W714" s="14"/>
    </row>
    <row r="715">
      <c r="P715" s="14"/>
      <c r="Q715" s="14"/>
      <c r="T715" s="14"/>
      <c r="U715" s="14"/>
      <c r="V715" s="14"/>
      <c r="W715" s="14"/>
    </row>
    <row r="716">
      <c r="P716" s="14"/>
      <c r="Q716" s="14"/>
      <c r="T716" s="14"/>
      <c r="U716" s="14"/>
      <c r="V716" s="14"/>
      <c r="W716" s="14"/>
    </row>
    <row r="717">
      <c r="P717" s="14"/>
      <c r="Q717" s="14"/>
      <c r="T717" s="14"/>
      <c r="U717" s="14"/>
      <c r="V717" s="14"/>
      <c r="W717" s="14"/>
    </row>
    <row r="718">
      <c r="P718" s="14"/>
      <c r="Q718" s="14"/>
      <c r="T718" s="14"/>
      <c r="U718" s="14"/>
      <c r="V718" s="14"/>
      <c r="W718" s="14"/>
    </row>
    <row r="719">
      <c r="P719" s="14"/>
      <c r="Q719" s="14"/>
      <c r="T719" s="14"/>
      <c r="U719" s="14"/>
      <c r="V719" s="14"/>
      <c r="W719" s="14"/>
    </row>
    <row r="720">
      <c r="P720" s="14"/>
      <c r="Q720" s="14"/>
      <c r="T720" s="14"/>
      <c r="U720" s="14"/>
      <c r="V720" s="14"/>
      <c r="W720" s="14"/>
    </row>
    <row r="721">
      <c r="P721" s="14"/>
      <c r="Q721" s="14"/>
      <c r="T721" s="14"/>
      <c r="U721" s="14"/>
      <c r="V721" s="14"/>
      <c r="W721" s="14"/>
    </row>
    <row r="722">
      <c r="P722" s="14"/>
      <c r="Q722" s="14"/>
      <c r="T722" s="14"/>
      <c r="U722" s="14"/>
      <c r="V722" s="14"/>
      <c r="W722" s="14"/>
    </row>
    <row r="723">
      <c r="P723" s="14"/>
      <c r="Q723" s="14"/>
      <c r="T723" s="14"/>
      <c r="U723" s="14"/>
      <c r="V723" s="14"/>
      <c r="W723" s="14"/>
    </row>
    <row r="724">
      <c r="P724" s="14"/>
      <c r="Q724" s="14"/>
      <c r="T724" s="14"/>
      <c r="U724" s="14"/>
      <c r="V724" s="14"/>
      <c r="W724" s="14"/>
    </row>
    <row r="725">
      <c r="P725" s="14"/>
      <c r="Q725" s="14"/>
      <c r="T725" s="14"/>
      <c r="U725" s="14"/>
      <c r="V725" s="14"/>
      <c r="W725" s="14"/>
    </row>
    <row r="726">
      <c r="P726" s="14"/>
      <c r="Q726" s="14"/>
      <c r="T726" s="14"/>
      <c r="U726" s="14"/>
      <c r="V726" s="14"/>
      <c r="W726" s="14"/>
    </row>
    <row r="727">
      <c r="P727" s="14"/>
      <c r="Q727" s="14"/>
      <c r="T727" s="14"/>
      <c r="U727" s="14"/>
      <c r="V727" s="14"/>
      <c r="W727" s="14"/>
    </row>
    <row r="728">
      <c r="P728" s="14"/>
      <c r="Q728" s="14"/>
      <c r="T728" s="14"/>
      <c r="U728" s="14"/>
      <c r="V728" s="14"/>
      <c r="W728" s="14"/>
    </row>
    <row r="729">
      <c r="P729" s="14"/>
      <c r="Q729" s="14"/>
      <c r="T729" s="14"/>
      <c r="U729" s="14"/>
      <c r="V729" s="14"/>
      <c r="W729" s="14"/>
    </row>
    <row r="730">
      <c r="P730" s="14"/>
      <c r="Q730" s="14"/>
      <c r="T730" s="14"/>
      <c r="U730" s="14"/>
      <c r="V730" s="14"/>
      <c r="W730" s="14"/>
    </row>
    <row r="731">
      <c r="P731" s="14"/>
      <c r="Q731" s="14"/>
      <c r="T731" s="14"/>
      <c r="U731" s="14"/>
      <c r="V731" s="14"/>
      <c r="W731" s="14"/>
    </row>
    <row r="732">
      <c r="P732" s="14"/>
      <c r="Q732" s="14"/>
      <c r="T732" s="14"/>
      <c r="U732" s="14"/>
      <c r="V732" s="14"/>
      <c r="W732" s="14"/>
    </row>
    <row r="733">
      <c r="P733" s="14"/>
      <c r="Q733" s="14"/>
      <c r="T733" s="14"/>
      <c r="U733" s="14"/>
      <c r="V733" s="14"/>
      <c r="W733" s="14"/>
    </row>
    <row r="734">
      <c r="P734" s="14"/>
      <c r="Q734" s="14"/>
      <c r="T734" s="14"/>
      <c r="U734" s="14"/>
      <c r="V734" s="14"/>
      <c r="W734" s="14"/>
    </row>
    <row r="735">
      <c r="P735" s="14"/>
      <c r="Q735" s="14"/>
      <c r="T735" s="14"/>
      <c r="U735" s="14"/>
      <c r="V735" s="14"/>
      <c r="W735" s="14"/>
    </row>
    <row r="736">
      <c r="P736" s="14"/>
      <c r="Q736" s="14"/>
      <c r="T736" s="14"/>
      <c r="U736" s="14"/>
      <c r="V736" s="14"/>
      <c r="W736" s="14"/>
    </row>
    <row r="737">
      <c r="P737" s="14"/>
      <c r="Q737" s="14"/>
      <c r="T737" s="14"/>
      <c r="U737" s="14"/>
      <c r="V737" s="14"/>
      <c r="W737" s="14"/>
    </row>
    <row r="738">
      <c r="P738" s="14"/>
      <c r="Q738" s="14"/>
      <c r="T738" s="14"/>
      <c r="U738" s="14"/>
      <c r="V738" s="14"/>
      <c r="W738" s="14"/>
    </row>
    <row r="739">
      <c r="P739" s="14"/>
      <c r="Q739" s="14"/>
      <c r="T739" s="14"/>
      <c r="U739" s="14"/>
      <c r="V739" s="14"/>
      <c r="W739" s="14"/>
    </row>
    <row r="740">
      <c r="P740" s="14"/>
      <c r="Q740" s="14"/>
      <c r="T740" s="14"/>
      <c r="U740" s="14"/>
      <c r="V740" s="14"/>
      <c r="W740" s="14"/>
    </row>
    <row r="741">
      <c r="P741" s="14"/>
      <c r="Q741" s="14"/>
      <c r="T741" s="14"/>
      <c r="U741" s="14"/>
      <c r="V741" s="14"/>
      <c r="W741" s="14"/>
    </row>
    <row r="742">
      <c r="P742" s="14"/>
      <c r="Q742" s="14"/>
      <c r="T742" s="14"/>
      <c r="U742" s="14"/>
      <c r="V742" s="14"/>
      <c r="W742" s="14"/>
    </row>
    <row r="743">
      <c r="P743" s="14"/>
      <c r="Q743" s="14"/>
      <c r="T743" s="14"/>
      <c r="U743" s="14"/>
      <c r="V743" s="14"/>
      <c r="W743" s="14"/>
    </row>
    <row r="744">
      <c r="P744" s="14"/>
      <c r="Q744" s="14"/>
      <c r="T744" s="14"/>
      <c r="U744" s="14"/>
      <c r="V744" s="14"/>
      <c r="W744" s="14"/>
    </row>
    <row r="745">
      <c r="P745" s="14"/>
      <c r="Q745" s="14"/>
      <c r="T745" s="14"/>
      <c r="U745" s="14"/>
      <c r="V745" s="14"/>
      <c r="W745" s="14"/>
    </row>
    <row r="746">
      <c r="P746" s="14"/>
      <c r="Q746" s="14"/>
      <c r="T746" s="14"/>
      <c r="U746" s="14"/>
      <c r="V746" s="14"/>
      <c r="W746" s="14"/>
    </row>
    <row r="747">
      <c r="P747" s="14"/>
      <c r="Q747" s="14"/>
      <c r="T747" s="14"/>
      <c r="U747" s="14"/>
      <c r="V747" s="14"/>
      <c r="W747" s="14"/>
    </row>
    <row r="748">
      <c r="P748" s="14"/>
      <c r="Q748" s="14"/>
      <c r="T748" s="14"/>
      <c r="U748" s="14"/>
      <c r="V748" s="14"/>
      <c r="W748" s="14"/>
    </row>
    <row r="749">
      <c r="P749" s="14"/>
      <c r="Q749" s="14"/>
      <c r="T749" s="14"/>
      <c r="U749" s="14"/>
      <c r="V749" s="14"/>
      <c r="W749" s="14"/>
    </row>
    <row r="750">
      <c r="P750" s="14"/>
      <c r="Q750" s="14"/>
      <c r="T750" s="14"/>
      <c r="U750" s="14"/>
      <c r="V750" s="14"/>
      <c r="W750" s="14"/>
    </row>
    <row r="751">
      <c r="P751" s="14"/>
      <c r="Q751" s="14"/>
      <c r="T751" s="14"/>
      <c r="U751" s="14"/>
      <c r="V751" s="14"/>
      <c r="W751" s="14"/>
    </row>
    <row r="752">
      <c r="P752" s="14"/>
      <c r="Q752" s="14"/>
      <c r="T752" s="14"/>
      <c r="U752" s="14"/>
      <c r="V752" s="14"/>
      <c r="W752" s="14"/>
    </row>
    <row r="753">
      <c r="P753" s="14"/>
      <c r="Q753" s="14"/>
      <c r="T753" s="14"/>
      <c r="U753" s="14"/>
      <c r="V753" s="14"/>
      <c r="W753" s="14"/>
    </row>
    <row r="754">
      <c r="P754" s="14"/>
      <c r="Q754" s="14"/>
      <c r="T754" s="14"/>
      <c r="U754" s="14"/>
      <c r="V754" s="14"/>
      <c r="W754" s="14"/>
    </row>
    <row r="755">
      <c r="P755" s="14"/>
      <c r="Q755" s="14"/>
      <c r="T755" s="14"/>
      <c r="U755" s="14"/>
      <c r="V755" s="14"/>
      <c r="W755" s="14"/>
    </row>
    <row r="756">
      <c r="P756" s="14"/>
      <c r="Q756" s="14"/>
      <c r="T756" s="14"/>
      <c r="U756" s="14"/>
      <c r="V756" s="14"/>
      <c r="W756" s="14"/>
    </row>
    <row r="757">
      <c r="P757" s="14"/>
      <c r="Q757" s="14"/>
      <c r="T757" s="14"/>
      <c r="U757" s="14"/>
      <c r="V757" s="14"/>
      <c r="W757" s="14"/>
    </row>
    <row r="758">
      <c r="P758" s="14"/>
      <c r="Q758" s="14"/>
      <c r="T758" s="14"/>
      <c r="U758" s="14"/>
      <c r="V758" s="14"/>
      <c r="W758" s="14"/>
    </row>
    <row r="759">
      <c r="P759" s="14"/>
      <c r="Q759" s="14"/>
      <c r="T759" s="14"/>
      <c r="U759" s="14"/>
      <c r="V759" s="14"/>
      <c r="W759" s="14"/>
    </row>
    <row r="760">
      <c r="P760" s="14"/>
      <c r="Q760" s="14"/>
      <c r="T760" s="14"/>
      <c r="U760" s="14"/>
      <c r="V760" s="14"/>
      <c r="W760" s="14"/>
    </row>
    <row r="761">
      <c r="P761" s="14"/>
      <c r="Q761" s="14"/>
      <c r="T761" s="14"/>
      <c r="U761" s="14"/>
      <c r="V761" s="14"/>
      <c r="W761" s="14"/>
    </row>
    <row r="762">
      <c r="P762" s="14"/>
      <c r="Q762" s="14"/>
      <c r="T762" s="14"/>
      <c r="U762" s="14"/>
      <c r="V762" s="14"/>
      <c r="W762" s="14"/>
    </row>
    <row r="763">
      <c r="P763" s="14"/>
      <c r="Q763" s="14"/>
      <c r="T763" s="14"/>
      <c r="U763" s="14"/>
      <c r="V763" s="14"/>
      <c r="W763" s="14"/>
    </row>
    <row r="764">
      <c r="P764" s="14"/>
      <c r="Q764" s="14"/>
      <c r="T764" s="14"/>
      <c r="U764" s="14"/>
      <c r="V764" s="14"/>
      <c r="W764" s="14"/>
    </row>
    <row r="765">
      <c r="P765" s="14"/>
      <c r="Q765" s="14"/>
      <c r="T765" s="14"/>
      <c r="U765" s="14"/>
      <c r="V765" s="14"/>
      <c r="W765" s="14"/>
    </row>
    <row r="766">
      <c r="P766" s="14"/>
      <c r="Q766" s="14"/>
      <c r="T766" s="14"/>
      <c r="U766" s="14"/>
      <c r="V766" s="14"/>
      <c r="W766" s="14"/>
    </row>
    <row r="767">
      <c r="P767" s="14"/>
      <c r="Q767" s="14"/>
      <c r="T767" s="14"/>
      <c r="U767" s="14"/>
      <c r="V767" s="14"/>
      <c r="W767" s="14"/>
    </row>
    <row r="768">
      <c r="P768" s="14"/>
      <c r="Q768" s="14"/>
      <c r="T768" s="14"/>
      <c r="U768" s="14"/>
      <c r="V768" s="14"/>
      <c r="W768" s="14"/>
    </row>
    <row r="769">
      <c r="P769" s="14"/>
      <c r="Q769" s="14"/>
      <c r="T769" s="14"/>
      <c r="U769" s="14"/>
      <c r="V769" s="14"/>
      <c r="W769" s="14"/>
    </row>
    <row r="770">
      <c r="P770" s="14"/>
      <c r="Q770" s="14"/>
      <c r="T770" s="14"/>
      <c r="U770" s="14"/>
      <c r="V770" s="14"/>
      <c r="W770" s="14"/>
    </row>
    <row r="771">
      <c r="P771" s="14"/>
      <c r="Q771" s="14"/>
      <c r="T771" s="14"/>
      <c r="U771" s="14"/>
      <c r="V771" s="14"/>
      <c r="W771" s="14"/>
    </row>
    <row r="772">
      <c r="P772" s="14"/>
      <c r="Q772" s="14"/>
      <c r="T772" s="14"/>
      <c r="U772" s="14"/>
      <c r="V772" s="14"/>
      <c r="W772" s="14"/>
    </row>
    <row r="773">
      <c r="P773" s="14"/>
      <c r="Q773" s="14"/>
      <c r="T773" s="14"/>
      <c r="U773" s="14"/>
      <c r="V773" s="14"/>
      <c r="W773" s="14"/>
    </row>
    <row r="774">
      <c r="P774" s="14"/>
      <c r="Q774" s="14"/>
      <c r="T774" s="14"/>
      <c r="U774" s="14"/>
      <c r="V774" s="14"/>
      <c r="W774" s="14"/>
    </row>
    <row r="775">
      <c r="P775" s="14"/>
      <c r="Q775" s="14"/>
      <c r="T775" s="14"/>
      <c r="U775" s="14"/>
      <c r="V775" s="14"/>
      <c r="W775" s="14"/>
    </row>
    <row r="776">
      <c r="P776" s="14"/>
      <c r="Q776" s="14"/>
      <c r="T776" s="14"/>
      <c r="U776" s="14"/>
      <c r="V776" s="14"/>
      <c r="W776" s="14"/>
    </row>
    <row r="777">
      <c r="P777" s="14"/>
      <c r="Q777" s="14"/>
      <c r="T777" s="14"/>
      <c r="U777" s="14"/>
      <c r="V777" s="14"/>
      <c r="W777" s="14"/>
    </row>
    <row r="778">
      <c r="P778" s="14"/>
      <c r="Q778" s="14"/>
      <c r="T778" s="14"/>
      <c r="U778" s="14"/>
      <c r="V778" s="14"/>
      <c r="W778" s="14"/>
    </row>
    <row r="779">
      <c r="P779" s="14"/>
      <c r="Q779" s="14"/>
      <c r="T779" s="14"/>
      <c r="U779" s="14"/>
      <c r="V779" s="14"/>
      <c r="W779" s="14"/>
    </row>
    <row r="780">
      <c r="P780" s="14"/>
      <c r="Q780" s="14"/>
      <c r="T780" s="14"/>
      <c r="U780" s="14"/>
      <c r="V780" s="14"/>
      <c r="W780" s="14"/>
    </row>
    <row r="781">
      <c r="P781" s="14"/>
      <c r="Q781" s="14"/>
      <c r="T781" s="14"/>
      <c r="U781" s="14"/>
      <c r="V781" s="14"/>
      <c r="W781" s="14"/>
    </row>
    <row r="782">
      <c r="P782" s="14"/>
      <c r="Q782" s="14"/>
      <c r="T782" s="14"/>
      <c r="U782" s="14"/>
      <c r="V782" s="14"/>
      <c r="W782" s="14"/>
    </row>
    <row r="783">
      <c r="P783" s="14"/>
      <c r="Q783" s="14"/>
      <c r="T783" s="14"/>
      <c r="U783" s="14"/>
      <c r="V783" s="14"/>
      <c r="W783" s="14"/>
    </row>
    <row r="784">
      <c r="P784" s="14"/>
      <c r="Q784" s="14"/>
      <c r="T784" s="14"/>
      <c r="U784" s="14"/>
      <c r="V784" s="14"/>
      <c r="W784" s="14"/>
    </row>
    <row r="785">
      <c r="P785" s="14"/>
      <c r="Q785" s="14"/>
      <c r="T785" s="14"/>
      <c r="U785" s="14"/>
      <c r="V785" s="14"/>
      <c r="W785" s="14"/>
    </row>
    <row r="786">
      <c r="P786" s="14"/>
      <c r="Q786" s="14"/>
      <c r="T786" s="14"/>
      <c r="U786" s="14"/>
      <c r="V786" s="14"/>
      <c r="W786" s="14"/>
    </row>
    <row r="787">
      <c r="P787" s="14"/>
      <c r="Q787" s="14"/>
      <c r="T787" s="14"/>
      <c r="U787" s="14"/>
      <c r="V787" s="14"/>
      <c r="W787" s="14"/>
    </row>
    <row r="788">
      <c r="P788" s="14"/>
      <c r="Q788" s="14"/>
      <c r="T788" s="14"/>
      <c r="U788" s="14"/>
      <c r="V788" s="14"/>
      <c r="W788" s="14"/>
    </row>
    <row r="789">
      <c r="P789" s="14"/>
      <c r="Q789" s="14"/>
      <c r="T789" s="14"/>
      <c r="U789" s="14"/>
      <c r="V789" s="14"/>
      <c r="W789" s="14"/>
    </row>
    <row r="790">
      <c r="P790" s="14"/>
      <c r="Q790" s="14"/>
      <c r="T790" s="14"/>
      <c r="U790" s="14"/>
      <c r="V790" s="14"/>
      <c r="W790" s="14"/>
    </row>
    <row r="791">
      <c r="P791" s="14"/>
      <c r="Q791" s="14"/>
      <c r="T791" s="14"/>
      <c r="U791" s="14"/>
      <c r="V791" s="14"/>
      <c r="W791" s="14"/>
    </row>
    <row r="792">
      <c r="P792" s="14"/>
      <c r="Q792" s="14"/>
      <c r="T792" s="14"/>
      <c r="U792" s="14"/>
      <c r="V792" s="14"/>
      <c r="W792" s="14"/>
    </row>
    <row r="793">
      <c r="P793" s="14"/>
      <c r="Q793" s="14"/>
      <c r="T793" s="14"/>
      <c r="U793" s="14"/>
      <c r="V793" s="14"/>
      <c r="W793" s="14"/>
    </row>
    <row r="794">
      <c r="P794" s="14"/>
      <c r="Q794" s="14"/>
      <c r="T794" s="14"/>
      <c r="U794" s="14"/>
      <c r="V794" s="14"/>
      <c r="W794" s="14"/>
    </row>
    <row r="795">
      <c r="P795" s="14"/>
      <c r="Q795" s="14"/>
      <c r="T795" s="14"/>
      <c r="U795" s="14"/>
      <c r="V795" s="14"/>
      <c r="W795" s="14"/>
    </row>
    <row r="796">
      <c r="P796" s="14"/>
      <c r="Q796" s="14"/>
      <c r="T796" s="14"/>
      <c r="U796" s="14"/>
      <c r="V796" s="14"/>
      <c r="W796" s="14"/>
    </row>
    <row r="797">
      <c r="P797" s="14"/>
      <c r="Q797" s="14"/>
      <c r="T797" s="14"/>
      <c r="U797" s="14"/>
      <c r="V797" s="14"/>
      <c r="W797" s="14"/>
    </row>
    <row r="798">
      <c r="P798" s="14"/>
      <c r="Q798" s="14"/>
      <c r="T798" s="14"/>
      <c r="U798" s="14"/>
      <c r="V798" s="14"/>
      <c r="W798" s="14"/>
    </row>
    <row r="799">
      <c r="P799" s="14"/>
      <c r="Q799" s="14"/>
      <c r="T799" s="14"/>
      <c r="U799" s="14"/>
      <c r="V799" s="14"/>
      <c r="W799" s="14"/>
    </row>
    <row r="800">
      <c r="P800" s="14"/>
      <c r="Q800" s="14"/>
      <c r="T800" s="14"/>
      <c r="U800" s="14"/>
      <c r="V800" s="14"/>
      <c r="W800" s="14"/>
    </row>
    <row r="801">
      <c r="P801" s="14"/>
      <c r="Q801" s="14"/>
      <c r="T801" s="14"/>
      <c r="U801" s="14"/>
      <c r="V801" s="14"/>
      <c r="W801" s="14"/>
    </row>
    <row r="802">
      <c r="P802" s="14"/>
      <c r="Q802" s="14"/>
      <c r="T802" s="14"/>
      <c r="U802" s="14"/>
      <c r="V802" s="14"/>
      <c r="W802" s="14"/>
    </row>
    <row r="803">
      <c r="P803" s="14"/>
      <c r="Q803" s="14"/>
      <c r="T803" s="14"/>
      <c r="U803" s="14"/>
      <c r="V803" s="14"/>
      <c r="W803" s="14"/>
    </row>
    <row r="804">
      <c r="P804" s="14"/>
      <c r="Q804" s="14"/>
      <c r="T804" s="14"/>
      <c r="U804" s="14"/>
      <c r="V804" s="14"/>
      <c r="W804" s="14"/>
    </row>
    <row r="805">
      <c r="P805" s="14"/>
      <c r="Q805" s="14"/>
      <c r="T805" s="14"/>
      <c r="U805" s="14"/>
      <c r="V805" s="14"/>
      <c r="W805" s="14"/>
    </row>
    <row r="806">
      <c r="P806" s="14"/>
      <c r="Q806" s="14"/>
      <c r="T806" s="14"/>
      <c r="U806" s="14"/>
      <c r="V806" s="14"/>
      <c r="W806" s="14"/>
    </row>
    <row r="807">
      <c r="P807" s="14"/>
      <c r="Q807" s="14"/>
      <c r="T807" s="14"/>
      <c r="U807" s="14"/>
      <c r="V807" s="14"/>
      <c r="W807" s="14"/>
    </row>
    <row r="808">
      <c r="P808" s="14"/>
      <c r="Q808" s="14"/>
      <c r="T808" s="14"/>
      <c r="U808" s="14"/>
      <c r="V808" s="14"/>
      <c r="W808" s="14"/>
    </row>
    <row r="809">
      <c r="P809" s="14"/>
      <c r="Q809" s="14"/>
      <c r="T809" s="14"/>
      <c r="U809" s="14"/>
      <c r="V809" s="14"/>
      <c r="W809" s="14"/>
    </row>
    <row r="810">
      <c r="P810" s="14"/>
      <c r="Q810" s="14"/>
      <c r="T810" s="14"/>
      <c r="U810" s="14"/>
      <c r="V810" s="14"/>
      <c r="W810" s="14"/>
    </row>
    <row r="811">
      <c r="P811" s="14"/>
      <c r="Q811" s="14"/>
      <c r="T811" s="14"/>
      <c r="U811" s="14"/>
      <c r="V811" s="14"/>
      <c r="W811" s="14"/>
    </row>
    <row r="812">
      <c r="P812" s="14"/>
      <c r="Q812" s="14"/>
      <c r="T812" s="14"/>
      <c r="U812" s="14"/>
      <c r="V812" s="14"/>
      <c r="W812" s="14"/>
    </row>
    <row r="813">
      <c r="P813" s="14"/>
      <c r="Q813" s="14"/>
      <c r="T813" s="14"/>
      <c r="U813" s="14"/>
      <c r="V813" s="14"/>
      <c r="W813" s="14"/>
    </row>
    <row r="814">
      <c r="P814" s="14"/>
      <c r="Q814" s="14"/>
      <c r="T814" s="14"/>
      <c r="U814" s="14"/>
      <c r="V814" s="14"/>
      <c r="W814" s="14"/>
    </row>
    <row r="815">
      <c r="P815" s="14"/>
      <c r="Q815" s="14"/>
      <c r="T815" s="14"/>
      <c r="U815" s="14"/>
      <c r="V815" s="14"/>
      <c r="W815" s="14"/>
    </row>
    <row r="816">
      <c r="P816" s="14"/>
      <c r="Q816" s="14"/>
      <c r="T816" s="14"/>
      <c r="U816" s="14"/>
      <c r="V816" s="14"/>
      <c r="W816" s="14"/>
    </row>
    <row r="817">
      <c r="P817" s="14"/>
      <c r="Q817" s="14"/>
      <c r="T817" s="14"/>
      <c r="U817" s="14"/>
      <c r="V817" s="14"/>
      <c r="W817" s="14"/>
    </row>
    <row r="818">
      <c r="P818" s="14"/>
      <c r="Q818" s="14"/>
      <c r="T818" s="14"/>
      <c r="U818" s="14"/>
      <c r="V818" s="14"/>
      <c r="W818" s="14"/>
    </row>
    <row r="819">
      <c r="P819" s="14"/>
      <c r="Q819" s="14"/>
      <c r="T819" s="14"/>
      <c r="U819" s="14"/>
      <c r="V819" s="14"/>
      <c r="W819" s="14"/>
    </row>
    <row r="820">
      <c r="P820" s="14"/>
      <c r="Q820" s="14"/>
      <c r="T820" s="14"/>
      <c r="U820" s="14"/>
      <c r="V820" s="14"/>
      <c r="W820" s="14"/>
    </row>
    <row r="821">
      <c r="P821" s="14"/>
      <c r="Q821" s="14"/>
      <c r="T821" s="14"/>
      <c r="U821" s="14"/>
      <c r="V821" s="14"/>
      <c r="W821" s="14"/>
    </row>
    <row r="822">
      <c r="P822" s="14"/>
      <c r="Q822" s="14"/>
      <c r="T822" s="14"/>
      <c r="U822" s="14"/>
      <c r="V822" s="14"/>
      <c r="W822" s="14"/>
    </row>
    <row r="823">
      <c r="P823" s="14"/>
      <c r="Q823" s="14"/>
      <c r="T823" s="14"/>
      <c r="U823" s="14"/>
      <c r="V823" s="14"/>
      <c r="W823" s="14"/>
    </row>
    <row r="824">
      <c r="P824" s="14"/>
      <c r="Q824" s="14"/>
      <c r="T824" s="14"/>
      <c r="U824" s="14"/>
      <c r="V824" s="14"/>
      <c r="W824" s="14"/>
    </row>
    <row r="825">
      <c r="P825" s="14"/>
      <c r="Q825" s="14"/>
      <c r="T825" s="14"/>
      <c r="U825" s="14"/>
      <c r="V825" s="14"/>
      <c r="W825" s="14"/>
    </row>
    <row r="826">
      <c r="P826" s="14"/>
      <c r="Q826" s="14"/>
      <c r="T826" s="14"/>
      <c r="U826" s="14"/>
      <c r="V826" s="14"/>
      <c r="W826" s="14"/>
    </row>
    <row r="827">
      <c r="P827" s="14"/>
      <c r="Q827" s="14"/>
      <c r="T827" s="14"/>
      <c r="U827" s="14"/>
      <c r="V827" s="14"/>
      <c r="W827" s="14"/>
    </row>
    <row r="828">
      <c r="P828" s="14"/>
      <c r="Q828" s="14"/>
      <c r="T828" s="14"/>
      <c r="U828" s="14"/>
      <c r="V828" s="14"/>
      <c r="W828" s="14"/>
    </row>
    <row r="829">
      <c r="P829" s="14"/>
      <c r="Q829" s="14"/>
      <c r="T829" s="14"/>
      <c r="U829" s="14"/>
      <c r="V829" s="14"/>
      <c r="W829" s="14"/>
    </row>
    <row r="830">
      <c r="P830" s="14"/>
      <c r="Q830" s="14"/>
      <c r="T830" s="14"/>
      <c r="U830" s="14"/>
      <c r="V830" s="14"/>
      <c r="W830" s="14"/>
    </row>
    <row r="831">
      <c r="P831" s="14"/>
      <c r="Q831" s="14"/>
      <c r="T831" s="14"/>
      <c r="U831" s="14"/>
      <c r="V831" s="14"/>
      <c r="W831" s="14"/>
    </row>
    <row r="832">
      <c r="P832" s="14"/>
      <c r="Q832" s="14"/>
      <c r="T832" s="14"/>
      <c r="U832" s="14"/>
      <c r="V832" s="14"/>
      <c r="W832" s="14"/>
    </row>
    <row r="833">
      <c r="P833" s="14"/>
      <c r="Q833" s="14"/>
      <c r="T833" s="14"/>
      <c r="U833" s="14"/>
      <c r="V833" s="14"/>
      <c r="W833" s="14"/>
    </row>
    <row r="834">
      <c r="P834" s="14"/>
      <c r="Q834" s="14"/>
      <c r="T834" s="14"/>
      <c r="U834" s="14"/>
      <c r="V834" s="14"/>
      <c r="W834" s="14"/>
    </row>
    <row r="835">
      <c r="P835" s="14"/>
      <c r="Q835" s="14"/>
      <c r="T835" s="14"/>
      <c r="U835" s="14"/>
      <c r="V835" s="14"/>
      <c r="W835" s="14"/>
    </row>
    <row r="836">
      <c r="P836" s="14"/>
      <c r="Q836" s="14"/>
      <c r="T836" s="14"/>
      <c r="U836" s="14"/>
      <c r="V836" s="14"/>
      <c r="W836" s="14"/>
    </row>
    <row r="837">
      <c r="P837" s="14"/>
      <c r="Q837" s="14"/>
      <c r="T837" s="14"/>
      <c r="U837" s="14"/>
      <c r="V837" s="14"/>
      <c r="W837" s="14"/>
    </row>
    <row r="838">
      <c r="P838" s="14"/>
      <c r="Q838" s="14"/>
      <c r="T838" s="14"/>
      <c r="U838" s="14"/>
      <c r="V838" s="14"/>
      <c r="W838" s="14"/>
    </row>
    <row r="839">
      <c r="P839" s="14"/>
      <c r="Q839" s="14"/>
      <c r="T839" s="14"/>
      <c r="U839" s="14"/>
      <c r="V839" s="14"/>
      <c r="W839" s="14"/>
    </row>
    <row r="840">
      <c r="P840" s="14"/>
      <c r="Q840" s="14"/>
      <c r="T840" s="14"/>
      <c r="U840" s="14"/>
      <c r="V840" s="14"/>
      <c r="W840" s="14"/>
    </row>
    <row r="841">
      <c r="P841" s="14"/>
      <c r="Q841" s="14"/>
      <c r="T841" s="14"/>
      <c r="U841" s="14"/>
      <c r="V841" s="14"/>
      <c r="W841" s="14"/>
    </row>
    <row r="842">
      <c r="P842" s="14"/>
      <c r="Q842" s="14"/>
      <c r="T842" s="14"/>
      <c r="U842" s="14"/>
      <c r="V842" s="14"/>
      <c r="W842" s="14"/>
    </row>
    <row r="843">
      <c r="P843" s="14"/>
      <c r="Q843" s="14"/>
      <c r="T843" s="14"/>
      <c r="U843" s="14"/>
      <c r="V843" s="14"/>
      <c r="W843" s="14"/>
    </row>
    <row r="844">
      <c r="P844" s="14"/>
      <c r="Q844" s="14"/>
      <c r="T844" s="14"/>
      <c r="U844" s="14"/>
      <c r="V844" s="14"/>
      <c r="W844" s="14"/>
    </row>
    <row r="845">
      <c r="P845" s="14"/>
      <c r="Q845" s="14"/>
      <c r="T845" s="14"/>
      <c r="U845" s="14"/>
      <c r="V845" s="14"/>
      <c r="W845" s="14"/>
    </row>
    <row r="846">
      <c r="P846" s="14"/>
      <c r="Q846" s="14"/>
      <c r="T846" s="14"/>
      <c r="U846" s="14"/>
      <c r="V846" s="14"/>
      <c r="W846" s="14"/>
    </row>
    <row r="847">
      <c r="P847" s="14"/>
      <c r="Q847" s="14"/>
      <c r="T847" s="14"/>
      <c r="U847" s="14"/>
      <c r="V847" s="14"/>
      <c r="W847" s="14"/>
    </row>
    <row r="848">
      <c r="P848" s="14"/>
      <c r="Q848" s="14"/>
      <c r="T848" s="14"/>
      <c r="U848" s="14"/>
      <c r="V848" s="14"/>
      <c r="W848" s="14"/>
    </row>
    <row r="849">
      <c r="P849" s="14"/>
      <c r="Q849" s="14"/>
      <c r="T849" s="14"/>
      <c r="U849" s="14"/>
      <c r="V849" s="14"/>
      <c r="W849" s="14"/>
    </row>
    <row r="850">
      <c r="P850" s="14"/>
      <c r="Q850" s="14"/>
      <c r="T850" s="14"/>
      <c r="U850" s="14"/>
      <c r="V850" s="14"/>
      <c r="W850" s="14"/>
    </row>
    <row r="851">
      <c r="P851" s="14"/>
      <c r="Q851" s="14"/>
      <c r="T851" s="14"/>
      <c r="U851" s="14"/>
      <c r="V851" s="14"/>
      <c r="W851" s="14"/>
    </row>
    <row r="852">
      <c r="P852" s="14"/>
      <c r="Q852" s="14"/>
      <c r="T852" s="14"/>
      <c r="U852" s="14"/>
      <c r="V852" s="14"/>
      <c r="W852" s="14"/>
    </row>
    <row r="853">
      <c r="P853" s="14"/>
      <c r="Q853" s="14"/>
      <c r="T853" s="14"/>
      <c r="U853" s="14"/>
      <c r="V853" s="14"/>
      <c r="W853" s="14"/>
    </row>
    <row r="854">
      <c r="P854" s="14"/>
      <c r="Q854" s="14"/>
      <c r="T854" s="14"/>
      <c r="U854" s="14"/>
      <c r="V854" s="14"/>
      <c r="W854" s="14"/>
    </row>
    <row r="855">
      <c r="P855" s="14"/>
      <c r="Q855" s="14"/>
      <c r="T855" s="14"/>
      <c r="U855" s="14"/>
      <c r="V855" s="14"/>
      <c r="W855" s="14"/>
    </row>
    <row r="856">
      <c r="P856" s="14"/>
      <c r="Q856" s="14"/>
      <c r="T856" s="14"/>
      <c r="U856" s="14"/>
      <c r="V856" s="14"/>
      <c r="W856" s="14"/>
    </row>
    <row r="857">
      <c r="P857" s="14"/>
      <c r="Q857" s="14"/>
      <c r="T857" s="14"/>
      <c r="U857" s="14"/>
      <c r="V857" s="14"/>
      <c r="W857" s="14"/>
    </row>
    <row r="858">
      <c r="P858" s="14"/>
      <c r="Q858" s="14"/>
      <c r="T858" s="14"/>
      <c r="U858" s="14"/>
      <c r="V858" s="14"/>
      <c r="W858" s="14"/>
    </row>
    <row r="859">
      <c r="P859" s="14"/>
      <c r="Q859" s="14"/>
      <c r="T859" s="14"/>
      <c r="U859" s="14"/>
      <c r="V859" s="14"/>
      <c r="W859" s="14"/>
    </row>
    <row r="860">
      <c r="P860" s="14"/>
      <c r="Q860" s="14"/>
      <c r="T860" s="14"/>
      <c r="U860" s="14"/>
      <c r="V860" s="14"/>
      <c r="W860" s="14"/>
    </row>
    <row r="861">
      <c r="P861" s="14"/>
      <c r="Q861" s="14"/>
      <c r="T861" s="14"/>
      <c r="U861" s="14"/>
      <c r="V861" s="14"/>
      <c r="W861" s="14"/>
    </row>
    <row r="862">
      <c r="P862" s="14"/>
      <c r="Q862" s="14"/>
      <c r="T862" s="14"/>
      <c r="U862" s="14"/>
      <c r="V862" s="14"/>
      <c r="W862" s="14"/>
    </row>
    <row r="863">
      <c r="P863" s="14"/>
      <c r="Q863" s="14"/>
      <c r="T863" s="14"/>
      <c r="U863" s="14"/>
      <c r="V863" s="14"/>
      <c r="W863" s="14"/>
    </row>
    <row r="864">
      <c r="P864" s="14"/>
      <c r="Q864" s="14"/>
      <c r="T864" s="14"/>
      <c r="U864" s="14"/>
      <c r="V864" s="14"/>
      <c r="W864" s="14"/>
    </row>
    <row r="865">
      <c r="P865" s="14"/>
      <c r="Q865" s="14"/>
      <c r="T865" s="14"/>
      <c r="U865" s="14"/>
      <c r="V865" s="14"/>
      <c r="W865" s="14"/>
    </row>
    <row r="866">
      <c r="P866" s="14"/>
      <c r="Q866" s="14"/>
      <c r="T866" s="14"/>
      <c r="U866" s="14"/>
      <c r="V866" s="14"/>
      <c r="W866" s="14"/>
    </row>
    <row r="867">
      <c r="P867" s="14"/>
      <c r="Q867" s="14"/>
      <c r="T867" s="14"/>
      <c r="U867" s="14"/>
      <c r="V867" s="14"/>
      <c r="W867" s="14"/>
    </row>
    <row r="868">
      <c r="P868" s="14"/>
      <c r="Q868" s="14"/>
      <c r="T868" s="14"/>
      <c r="U868" s="14"/>
      <c r="V868" s="14"/>
      <c r="W868" s="14"/>
    </row>
    <row r="869">
      <c r="P869" s="14"/>
      <c r="Q869" s="14"/>
      <c r="T869" s="14"/>
      <c r="U869" s="14"/>
      <c r="V869" s="14"/>
      <c r="W869" s="14"/>
    </row>
    <row r="870">
      <c r="P870" s="14"/>
      <c r="Q870" s="14"/>
      <c r="T870" s="14"/>
      <c r="U870" s="14"/>
      <c r="V870" s="14"/>
      <c r="W870" s="14"/>
    </row>
    <row r="871">
      <c r="P871" s="14"/>
      <c r="Q871" s="14"/>
      <c r="T871" s="14"/>
      <c r="U871" s="14"/>
      <c r="V871" s="14"/>
      <c r="W871" s="14"/>
    </row>
    <row r="872">
      <c r="P872" s="14"/>
      <c r="Q872" s="14"/>
      <c r="T872" s="14"/>
      <c r="U872" s="14"/>
      <c r="V872" s="14"/>
      <c r="W872" s="14"/>
    </row>
    <row r="873">
      <c r="P873" s="14"/>
      <c r="Q873" s="14"/>
      <c r="T873" s="14"/>
      <c r="U873" s="14"/>
      <c r="V873" s="14"/>
      <c r="W873" s="14"/>
    </row>
    <row r="874">
      <c r="P874" s="14"/>
      <c r="Q874" s="14"/>
      <c r="T874" s="14"/>
      <c r="U874" s="14"/>
      <c r="V874" s="14"/>
      <c r="W874" s="14"/>
    </row>
    <row r="875">
      <c r="P875" s="14"/>
      <c r="Q875" s="14"/>
      <c r="T875" s="14"/>
      <c r="U875" s="14"/>
      <c r="V875" s="14"/>
      <c r="W875" s="14"/>
    </row>
    <row r="876">
      <c r="P876" s="14"/>
      <c r="Q876" s="14"/>
      <c r="T876" s="14"/>
      <c r="U876" s="14"/>
      <c r="V876" s="14"/>
      <c r="W876" s="14"/>
    </row>
    <row r="877">
      <c r="P877" s="14"/>
      <c r="Q877" s="14"/>
      <c r="T877" s="14"/>
      <c r="U877" s="14"/>
      <c r="V877" s="14"/>
      <c r="W877" s="14"/>
    </row>
    <row r="878">
      <c r="P878" s="14"/>
      <c r="Q878" s="14"/>
      <c r="T878" s="14"/>
      <c r="U878" s="14"/>
      <c r="V878" s="14"/>
      <c r="W878" s="14"/>
    </row>
    <row r="879">
      <c r="P879" s="14"/>
      <c r="Q879" s="14"/>
      <c r="T879" s="14"/>
      <c r="U879" s="14"/>
      <c r="V879" s="14"/>
      <c r="W879" s="14"/>
    </row>
    <row r="880">
      <c r="P880" s="14"/>
      <c r="Q880" s="14"/>
      <c r="T880" s="14"/>
      <c r="U880" s="14"/>
      <c r="V880" s="14"/>
      <c r="W880" s="14"/>
    </row>
    <row r="881">
      <c r="P881" s="14"/>
      <c r="Q881" s="14"/>
      <c r="T881" s="14"/>
      <c r="U881" s="14"/>
      <c r="V881" s="14"/>
      <c r="W881" s="14"/>
    </row>
    <row r="882">
      <c r="P882" s="14"/>
      <c r="Q882" s="14"/>
      <c r="T882" s="14"/>
      <c r="U882" s="14"/>
      <c r="V882" s="14"/>
      <c r="W882" s="14"/>
    </row>
    <row r="883">
      <c r="P883" s="14"/>
      <c r="Q883" s="14"/>
      <c r="T883" s="14"/>
      <c r="U883" s="14"/>
      <c r="V883" s="14"/>
      <c r="W883" s="14"/>
    </row>
    <row r="884">
      <c r="P884" s="14"/>
      <c r="Q884" s="14"/>
      <c r="T884" s="14"/>
      <c r="U884" s="14"/>
      <c r="V884" s="14"/>
      <c r="W884" s="14"/>
    </row>
    <row r="885">
      <c r="P885" s="14"/>
      <c r="Q885" s="14"/>
      <c r="T885" s="14"/>
      <c r="U885" s="14"/>
      <c r="V885" s="14"/>
      <c r="W885" s="14"/>
    </row>
    <row r="886">
      <c r="P886" s="14"/>
      <c r="Q886" s="14"/>
      <c r="T886" s="14"/>
      <c r="U886" s="14"/>
      <c r="V886" s="14"/>
      <c r="W886" s="14"/>
    </row>
    <row r="887">
      <c r="P887" s="14"/>
      <c r="Q887" s="14"/>
      <c r="T887" s="14"/>
      <c r="U887" s="14"/>
      <c r="V887" s="14"/>
      <c r="W887" s="14"/>
    </row>
    <row r="888">
      <c r="P888" s="14"/>
      <c r="Q888" s="14"/>
      <c r="T888" s="14"/>
      <c r="U888" s="14"/>
      <c r="V888" s="14"/>
      <c r="W888" s="14"/>
    </row>
    <row r="889">
      <c r="P889" s="14"/>
      <c r="Q889" s="14"/>
      <c r="T889" s="14"/>
      <c r="U889" s="14"/>
      <c r="V889" s="14"/>
      <c r="W889" s="14"/>
    </row>
    <row r="890">
      <c r="P890" s="14"/>
      <c r="Q890" s="14"/>
      <c r="T890" s="14"/>
      <c r="U890" s="14"/>
      <c r="V890" s="14"/>
      <c r="W890" s="14"/>
    </row>
    <row r="891">
      <c r="P891" s="14"/>
      <c r="Q891" s="14"/>
      <c r="T891" s="14"/>
      <c r="U891" s="14"/>
      <c r="V891" s="14"/>
      <c r="W891" s="14"/>
    </row>
    <row r="892">
      <c r="P892" s="14"/>
      <c r="Q892" s="14"/>
      <c r="T892" s="14"/>
      <c r="U892" s="14"/>
      <c r="V892" s="14"/>
      <c r="W892" s="14"/>
    </row>
    <row r="893">
      <c r="P893" s="14"/>
      <c r="Q893" s="14"/>
      <c r="T893" s="14"/>
      <c r="U893" s="14"/>
      <c r="V893" s="14"/>
      <c r="W893" s="14"/>
    </row>
    <row r="894">
      <c r="P894" s="14"/>
      <c r="Q894" s="14"/>
      <c r="T894" s="14"/>
      <c r="U894" s="14"/>
      <c r="V894" s="14"/>
      <c r="W894" s="14"/>
    </row>
    <row r="895">
      <c r="P895" s="14"/>
      <c r="Q895" s="14"/>
      <c r="T895" s="14"/>
      <c r="U895" s="14"/>
      <c r="V895" s="14"/>
      <c r="W895" s="14"/>
    </row>
    <row r="896">
      <c r="P896" s="14"/>
      <c r="Q896" s="14"/>
      <c r="T896" s="14"/>
      <c r="U896" s="14"/>
      <c r="V896" s="14"/>
      <c r="W896" s="14"/>
    </row>
    <row r="897">
      <c r="P897" s="14"/>
      <c r="Q897" s="14"/>
      <c r="T897" s="14"/>
      <c r="U897" s="14"/>
      <c r="V897" s="14"/>
      <c r="W897" s="14"/>
    </row>
    <row r="898">
      <c r="P898" s="14"/>
      <c r="Q898" s="14"/>
      <c r="T898" s="14"/>
      <c r="U898" s="14"/>
      <c r="V898" s="14"/>
      <c r="W898" s="14"/>
    </row>
    <row r="899">
      <c r="P899" s="14"/>
      <c r="Q899" s="14"/>
      <c r="T899" s="14"/>
      <c r="U899" s="14"/>
      <c r="V899" s="14"/>
      <c r="W899" s="14"/>
    </row>
    <row r="900">
      <c r="P900" s="14"/>
      <c r="Q900" s="14"/>
      <c r="T900" s="14"/>
      <c r="U900" s="14"/>
      <c r="V900" s="14"/>
      <c r="W900" s="14"/>
    </row>
    <row r="901">
      <c r="P901" s="14"/>
      <c r="Q901" s="14"/>
      <c r="T901" s="14"/>
      <c r="U901" s="14"/>
      <c r="V901" s="14"/>
      <c r="W901" s="14"/>
    </row>
    <row r="902">
      <c r="P902" s="14"/>
      <c r="Q902" s="14"/>
      <c r="T902" s="14"/>
      <c r="U902" s="14"/>
      <c r="V902" s="14"/>
      <c r="W902" s="14"/>
    </row>
    <row r="903">
      <c r="P903" s="14"/>
      <c r="Q903" s="14"/>
      <c r="T903" s="14"/>
      <c r="U903" s="14"/>
      <c r="V903" s="14"/>
      <c r="W903" s="14"/>
    </row>
    <row r="904">
      <c r="P904" s="14"/>
      <c r="Q904" s="14"/>
      <c r="T904" s="14"/>
      <c r="U904" s="14"/>
      <c r="V904" s="14"/>
      <c r="W904" s="14"/>
    </row>
    <row r="905">
      <c r="P905" s="14"/>
      <c r="Q905" s="14"/>
      <c r="T905" s="14"/>
      <c r="U905" s="14"/>
      <c r="V905" s="14"/>
      <c r="W905" s="14"/>
    </row>
    <row r="906">
      <c r="P906" s="14"/>
      <c r="Q906" s="14"/>
      <c r="T906" s="14"/>
      <c r="U906" s="14"/>
      <c r="V906" s="14"/>
      <c r="W906" s="14"/>
    </row>
    <row r="907">
      <c r="P907" s="14"/>
      <c r="Q907" s="14"/>
      <c r="T907" s="14"/>
      <c r="U907" s="14"/>
      <c r="V907" s="14"/>
      <c r="W907" s="14"/>
    </row>
    <row r="908">
      <c r="P908" s="14"/>
      <c r="Q908" s="14"/>
      <c r="T908" s="14"/>
      <c r="U908" s="14"/>
      <c r="V908" s="14"/>
      <c r="W908" s="14"/>
    </row>
    <row r="909">
      <c r="P909" s="14"/>
      <c r="Q909" s="14"/>
      <c r="T909" s="14"/>
      <c r="U909" s="14"/>
      <c r="V909" s="14"/>
      <c r="W909" s="14"/>
    </row>
    <row r="910">
      <c r="P910" s="14"/>
      <c r="Q910" s="14"/>
      <c r="T910" s="14"/>
      <c r="U910" s="14"/>
      <c r="V910" s="14"/>
      <c r="W910" s="14"/>
    </row>
    <row r="911">
      <c r="P911" s="14"/>
      <c r="Q911" s="14"/>
      <c r="T911" s="14"/>
      <c r="U911" s="14"/>
      <c r="V911" s="14"/>
      <c r="W911" s="14"/>
    </row>
    <row r="912">
      <c r="P912" s="14"/>
      <c r="Q912" s="14"/>
      <c r="T912" s="14"/>
      <c r="U912" s="14"/>
      <c r="V912" s="14"/>
      <c r="W912" s="14"/>
    </row>
    <row r="913">
      <c r="P913" s="14"/>
      <c r="Q913" s="14"/>
      <c r="T913" s="14"/>
      <c r="U913" s="14"/>
      <c r="V913" s="14"/>
      <c r="W913" s="14"/>
    </row>
    <row r="914">
      <c r="P914" s="14"/>
      <c r="Q914" s="14"/>
      <c r="T914" s="14"/>
      <c r="U914" s="14"/>
      <c r="V914" s="14"/>
      <c r="W914" s="14"/>
    </row>
    <row r="915">
      <c r="P915" s="14"/>
      <c r="Q915" s="14"/>
      <c r="T915" s="14"/>
      <c r="U915" s="14"/>
      <c r="V915" s="14"/>
      <c r="W915" s="14"/>
    </row>
    <row r="916">
      <c r="P916" s="14"/>
      <c r="Q916" s="14"/>
      <c r="T916" s="14"/>
      <c r="U916" s="14"/>
      <c r="V916" s="14"/>
      <c r="W916" s="14"/>
    </row>
    <row r="917">
      <c r="P917" s="14"/>
      <c r="Q917" s="14"/>
      <c r="T917" s="14"/>
      <c r="U917" s="14"/>
      <c r="V917" s="14"/>
      <c r="W917" s="14"/>
    </row>
    <row r="918">
      <c r="P918" s="14"/>
      <c r="Q918" s="14"/>
      <c r="T918" s="14"/>
      <c r="U918" s="14"/>
      <c r="V918" s="14"/>
      <c r="W918" s="14"/>
    </row>
    <row r="919">
      <c r="P919" s="14"/>
      <c r="Q919" s="14"/>
      <c r="T919" s="14"/>
      <c r="U919" s="14"/>
      <c r="V919" s="14"/>
      <c r="W919" s="14"/>
    </row>
    <row r="920">
      <c r="P920" s="14"/>
      <c r="Q920" s="14"/>
      <c r="T920" s="14"/>
      <c r="U920" s="14"/>
      <c r="V920" s="14"/>
      <c r="W920" s="14"/>
    </row>
    <row r="921">
      <c r="P921" s="14"/>
      <c r="Q921" s="14"/>
      <c r="T921" s="14"/>
      <c r="U921" s="14"/>
      <c r="V921" s="14"/>
      <c r="W921" s="14"/>
    </row>
    <row r="922">
      <c r="P922" s="14"/>
      <c r="Q922" s="14"/>
      <c r="T922" s="14"/>
      <c r="U922" s="14"/>
      <c r="V922" s="14"/>
      <c r="W922" s="14"/>
    </row>
    <row r="923">
      <c r="P923" s="14"/>
      <c r="Q923" s="14"/>
      <c r="T923" s="14"/>
      <c r="U923" s="14"/>
      <c r="V923" s="14"/>
      <c r="W923" s="14"/>
    </row>
    <row r="924">
      <c r="P924" s="14"/>
      <c r="Q924" s="14"/>
      <c r="T924" s="14"/>
      <c r="U924" s="14"/>
      <c r="V924" s="14"/>
      <c r="W924" s="14"/>
    </row>
    <row r="925">
      <c r="P925" s="14"/>
      <c r="Q925" s="14"/>
      <c r="T925" s="14"/>
      <c r="U925" s="14"/>
      <c r="V925" s="14"/>
      <c r="W925" s="14"/>
    </row>
    <row r="926">
      <c r="P926" s="14"/>
      <c r="Q926" s="14"/>
      <c r="T926" s="14"/>
      <c r="U926" s="14"/>
      <c r="V926" s="14"/>
      <c r="W926" s="14"/>
    </row>
    <row r="927">
      <c r="P927" s="14"/>
      <c r="Q927" s="14"/>
      <c r="T927" s="14"/>
      <c r="U927" s="14"/>
      <c r="V927" s="14"/>
      <c r="W927" s="14"/>
    </row>
    <row r="928">
      <c r="P928" s="14"/>
      <c r="Q928" s="14"/>
      <c r="T928" s="14"/>
      <c r="U928" s="14"/>
      <c r="V928" s="14"/>
      <c r="W928" s="14"/>
    </row>
    <row r="929">
      <c r="P929" s="14"/>
      <c r="Q929" s="14"/>
      <c r="T929" s="14"/>
      <c r="U929" s="14"/>
      <c r="V929" s="14"/>
      <c r="W929" s="14"/>
    </row>
    <row r="930">
      <c r="P930" s="14"/>
      <c r="Q930" s="14"/>
      <c r="T930" s="14"/>
      <c r="U930" s="14"/>
      <c r="V930" s="14"/>
      <c r="W930" s="14"/>
    </row>
    <row r="931">
      <c r="P931" s="14"/>
      <c r="Q931" s="14"/>
      <c r="T931" s="14"/>
      <c r="U931" s="14"/>
      <c r="V931" s="14"/>
      <c r="W931" s="14"/>
    </row>
    <row r="932">
      <c r="P932" s="14"/>
      <c r="Q932" s="14"/>
      <c r="T932" s="14"/>
      <c r="U932" s="14"/>
      <c r="V932" s="14"/>
      <c r="W932" s="14"/>
    </row>
    <row r="933">
      <c r="P933" s="14"/>
      <c r="Q933" s="14"/>
      <c r="T933" s="14"/>
      <c r="U933" s="14"/>
      <c r="V933" s="14"/>
      <c r="W933" s="14"/>
    </row>
    <row r="934">
      <c r="P934" s="14"/>
      <c r="Q934" s="14"/>
      <c r="T934" s="14"/>
      <c r="U934" s="14"/>
      <c r="V934" s="14"/>
      <c r="W934" s="14"/>
    </row>
    <row r="935">
      <c r="P935" s="14"/>
      <c r="Q935" s="14"/>
      <c r="T935" s="14"/>
      <c r="U935" s="14"/>
      <c r="V935" s="14"/>
      <c r="W935" s="14"/>
    </row>
    <row r="936">
      <c r="P936" s="14"/>
      <c r="Q936" s="14"/>
      <c r="T936" s="14"/>
      <c r="U936" s="14"/>
      <c r="V936" s="14"/>
      <c r="W936" s="14"/>
    </row>
    <row r="937">
      <c r="P937" s="14"/>
      <c r="Q937" s="14"/>
      <c r="T937" s="14"/>
      <c r="U937" s="14"/>
      <c r="V937" s="14"/>
      <c r="W937" s="14"/>
    </row>
    <row r="938">
      <c r="P938" s="14"/>
      <c r="Q938" s="14"/>
      <c r="T938" s="14"/>
      <c r="U938" s="14"/>
      <c r="V938" s="14"/>
      <c r="W938" s="14"/>
    </row>
    <row r="939">
      <c r="P939" s="14"/>
      <c r="Q939" s="14"/>
      <c r="T939" s="14"/>
      <c r="U939" s="14"/>
      <c r="V939" s="14"/>
      <c r="W939" s="14"/>
    </row>
    <row r="940">
      <c r="P940" s="14"/>
      <c r="Q940" s="14"/>
      <c r="T940" s="14"/>
      <c r="U940" s="14"/>
      <c r="V940" s="14"/>
      <c r="W940" s="14"/>
    </row>
    <row r="941">
      <c r="P941" s="14"/>
      <c r="Q941" s="14"/>
      <c r="T941" s="14"/>
      <c r="U941" s="14"/>
      <c r="V941" s="14"/>
      <c r="W941" s="14"/>
    </row>
    <row r="942">
      <c r="P942" s="14"/>
      <c r="Q942" s="14"/>
      <c r="T942" s="14"/>
      <c r="U942" s="14"/>
      <c r="V942" s="14"/>
      <c r="W942" s="14"/>
    </row>
    <row r="943">
      <c r="P943" s="14"/>
      <c r="Q943" s="14"/>
      <c r="T943" s="14"/>
      <c r="U943" s="14"/>
      <c r="V943" s="14"/>
      <c r="W943" s="14"/>
    </row>
    <row r="944">
      <c r="P944" s="14"/>
      <c r="Q944" s="14"/>
      <c r="T944" s="14"/>
      <c r="U944" s="14"/>
      <c r="V944" s="14"/>
      <c r="W944" s="14"/>
    </row>
    <row r="945">
      <c r="P945" s="14"/>
      <c r="Q945" s="14"/>
      <c r="T945" s="14"/>
      <c r="U945" s="14"/>
      <c r="V945" s="14"/>
      <c r="W945" s="14"/>
    </row>
    <row r="946">
      <c r="P946" s="14"/>
      <c r="Q946" s="14"/>
      <c r="T946" s="14"/>
      <c r="U946" s="14"/>
      <c r="V946" s="14"/>
      <c r="W946" s="14"/>
    </row>
    <row r="947">
      <c r="P947" s="14"/>
      <c r="Q947" s="14"/>
      <c r="T947" s="14"/>
      <c r="U947" s="14"/>
      <c r="V947" s="14"/>
      <c r="W947" s="14"/>
    </row>
    <row r="948">
      <c r="P948" s="14"/>
      <c r="Q948" s="14"/>
      <c r="T948" s="14"/>
      <c r="U948" s="14"/>
      <c r="V948" s="14"/>
      <c r="W948" s="14"/>
    </row>
    <row r="949">
      <c r="P949" s="14"/>
      <c r="Q949" s="14"/>
      <c r="T949" s="14"/>
      <c r="U949" s="14"/>
      <c r="V949" s="14"/>
      <c r="W949" s="14"/>
    </row>
    <row r="950">
      <c r="P950" s="14"/>
      <c r="Q950" s="14"/>
      <c r="T950" s="14"/>
      <c r="U950" s="14"/>
      <c r="V950" s="14"/>
      <c r="W950" s="14"/>
    </row>
    <row r="951">
      <c r="P951" s="14"/>
      <c r="Q951" s="14"/>
      <c r="T951" s="14"/>
      <c r="U951" s="14"/>
      <c r="V951" s="14"/>
      <c r="W951" s="14"/>
    </row>
    <row r="952">
      <c r="P952" s="14"/>
      <c r="Q952" s="14"/>
      <c r="T952" s="14"/>
      <c r="U952" s="14"/>
      <c r="V952" s="14"/>
      <c r="W952" s="14"/>
    </row>
    <row r="953">
      <c r="P953" s="14"/>
      <c r="Q953" s="14"/>
      <c r="T953" s="14"/>
      <c r="U953" s="14"/>
      <c r="V953" s="14"/>
      <c r="W953" s="14"/>
    </row>
    <row r="954">
      <c r="P954" s="14"/>
      <c r="Q954" s="14"/>
      <c r="T954" s="14"/>
      <c r="U954" s="14"/>
      <c r="V954" s="14"/>
      <c r="W954" s="14"/>
    </row>
    <row r="955">
      <c r="P955" s="14"/>
      <c r="Q955" s="14"/>
      <c r="T955" s="14"/>
      <c r="U955" s="14"/>
      <c r="V955" s="14"/>
      <c r="W955" s="14"/>
    </row>
    <row r="956">
      <c r="P956" s="14"/>
      <c r="Q956" s="14"/>
      <c r="T956" s="14"/>
      <c r="U956" s="14"/>
      <c r="V956" s="14"/>
      <c r="W956" s="14"/>
    </row>
    <row r="957">
      <c r="P957" s="14"/>
      <c r="Q957" s="14"/>
      <c r="T957" s="14"/>
      <c r="U957" s="14"/>
      <c r="V957" s="14"/>
      <c r="W957" s="14"/>
    </row>
    <row r="958">
      <c r="P958" s="14"/>
      <c r="Q958" s="14"/>
      <c r="T958" s="14"/>
      <c r="U958" s="14"/>
      <c r="V958" s="14"/>
      <c r="W958" s="14"/>
    </row>
    <row r="959">
      <c r="P959" s="14"/>
      <c r="Q959" s="14"/>
      <c r="T959" s="14"/>
      <c r="U959" s="14"/>
      <c r="V959" s="14"/>
      <c r="W959" s="14"/>
    </row>
    <row r="960">
      <c r="P960" s="14"/>
      <c r="Q960" s="14"/>
      <c r="T960" s="14"/>
      <c r="U960" s="14"/>
      <c r="V960" s="14"/>
      <c r="W960" s="14"/>
    </row>
    <row r="961">
      <c r="P961" s="14"/>
      <c r="Q961" s="14"/>
      <c r="T961" s="14"/>
      <c r="U961" s="14"/>
      <c r="V961" s="14"/>
      <c r="W961" s="14"/>
    </row>
    <row r="962">
      <c r="P962" s="14"/>
      <c r="Q962" s="14"/>
      <c r="T962" s="14"/>
      <c r="U962" s="14"/>
      <c r="V962" s="14"/>
      <c r="W962" s="14"/>
    </row>
    <row r="963">
      <c r="P963" s="14"/>
      <c r="Q963" s="14"/>
      <c r="T963" s="14"/>
      <c r="U963" s="14"/>
      <c r="V963" s="14"/>
      <c r="W963" s="14"/>
    </row>
    <row r="964">
      <c r="P964" s="14"/>
      <c r="Q964" s="14"/>
      <c r="T964" s="14"/>
      <c r="U964" s="14"/>
      <c r="V964" s="14"/>
      <c r="W964" s="14"/>
    </row>
    <row r="965">
      <c r="P965" s="14"/>
      <c r="Q965" s="14"/>
      <c r="T965" s="14"/>
      <c r="U965" s="14"/>
      <c r="V965" s="14"/>
      <c r="W965" s="14"/>
    </row>
    <row r="966">
      <c r="P966" s="14"/>
      <c r="Q966" s="14"/>
      <c r="T966" s="14"/>
      <c r="U966" s="14"/>
      <c r="V966" s="14"/>
      <c r="W966" s="14"/>
    </row>
    <row r="967">
      <c r="P967" s="14"/>
      <c r="Q967" s="14"/>
      <c r="T967" s="14"/>
      <c r="U967" s="14"/>
      <c r="V967" s="14"/>
      <c r="W967" s="14"/>
    </row>
    <row r="968">
      <c r="P968" s="14"/>
      <c r="Q968" s="14"/>
      <c r="T968" s="14"/>
      <c r="U968" s="14"/>
      <c r="V968" s="14"/>
      <c r="W968" s="14"/>
    </row>
    <row r="969">
      <c r="P969" s="14"/>
      <c r="Q969" s="14"/>
      <c r="T969" s="14"/>
      <c r="U969" s="14"/>
      <c r="V969" s="14"/>
      <c r="W969" s="14"/>
    </row>
    <row r="970">
      <c r="P970" s="14"/>
      <c r="Q970" s="14"/>
      <c r="T970" s="14"/>
      <c r="U970" s="14"/>
      <c r="V970" s="14"/>
      <c r="W970" s="14"/>
    </row>
    <row r="971">
      <c r="P971" s="14"/>
      <c r="Q971" s="14"/>
      <c r="T971" s="14"/>
      <c r="U971" s="14"/>
      <c r="V971" s="14"/>
      <c r="W971" s="14"/>
    </row>
    <row r="972">
      <c r="P972" s="14"/>
      <c r="Q972" s="14"/>
      <c r="T972" s="14"/>
      <c r="U972" s="14"/>
      <c r="V972" s="14"/>
      <c r="W972" s="14"/>
    </row>
    <row r="973">
      <c r="P973" s="14"/>
      <c r="Q973" s="14"/>
      <c r="T973" s="14"/>
      <c r="U973" s="14"/>
      <c r="V973" s="14"/>
      <c r="W973" s="14"/>
    </row>
    <row r="974">
      <c r="P974" s="14"/>
      <c r="Q974" s="14"/>
      <c r="T974" s="14"/>
      <c r="U974" s="14"/>
      <c r="V974" s="14"/>
      <c r="W974" s="14"/>
    </row>
    <row r="975">
      <c r="P975" s="14"/>
      <c r="Q975" s="14"/>
      <c r="T975" s="14"/>
      <c r="U975" s="14"/>
      <c r="V975" s="14"/>
      <c r="W975" s="14"/>
    </row>
    <row r="976">
      <c r="P976" s="14"/>
      <c r="Q976" s="14"/>
      <c r="T976" s="14"/>
      <c r="U976" s="14"/>
      <c r="V976" s="14"/>
      <c r="W976" s="14"/>
    </row>
    <row r="977">
      <c r="P977" s="14"/>
      <c r="Q977" s="14"/>
      <c r="T977" s="14"/>
      <c r="U977" s="14"/>
      <c r="V977" s="14"/>
      <c r="W977" s="14"/>
    </row>
    <row r="978">
      <c r="P978" s="14"/>
      <c r="Q978" s="14"/>
      <c r="T978" s="14"/>
      <c r="U978" s="14"/>
      <c r="V978" s="14"/>
      <c r="W978" s="14"/>
    </row>
    <row r="979">
      <c r="P979" s="14"/>
      <c r="Q979" s="14"/>
      <c r="T979" s="14"/>
      <c r="U979" s="14"/>
      <c r="V979" s="14"/>
      <c r="W979" s="14"/>
    </row>
    <row r="980">
      <c r="P980" s="14"/>
      <c r="Q980" s="14"/>
      <c r="T980" s="14"/>
      <c r="U980" s="14"/>
      <c r="V980" s="14"/>
      <c r="W980" s="14"/>
    </row>
    <row r="981">
      <c r="P981" s="14"/>
      <c r="Q981" s="14"/>
      <c r="T981" s="14"/>
      <c r="U981" s="14"/>
      <c r="V981" s="14"/>
      <c r="W981" s="14"/>
    </row>
    <row r="982">
      <c r="P982" s="14"/>
      <c r="Q982" s="14"/>
      <c r="T982" s="14"/>
      <c r="U982" s="14"/>
      <c r="V982" s="14"/>
      <c r="W982" s="14"/>
    </row>
    <row r="983">
      <c r="P983" s="14"/>
      <c r="Q983" s="14"/>
      <c r="T983" s="14"/>
      <c r="U983" s="14"/>
      <c r="V983" s="14"/>
      <c r="W983" s="14"/>
    </row>
    <row r="984">
      <c r="P984" s="14"/>
      <c r="Q984" s="14"/>
      <c r="T984" s="14"/>
      <c r="U984" s="14"/>
      <c r="V984" s="14"/>
      <c r="W984" s="14"/>
    </row>
    <row r="985">
      <c r="P985" s="14"/>
      <c r="Q985" s="14"/>
      <c r="T985" s="14"/>
      <c r="U985" s="14"/>
      <c r="V985" s="14"/>
      <c r="W985" s="14"/>
    </row>
    <row r="986">
      <c r="P986" s="14"/>
      <c r="Q986" s="14"/>
      <c r="T986" s="14"/>
      <c r="U986" s="14"/>
      <c r="V986" s="14"/>
      <c r="W986" s="14"/>
    </row>
    <row r="987">
      <c r="P987" s="14"/>
      <c r="Q987" s="14"/>
      <c r="T987" s="14"/>
      <c r="U987" s="14"/>
      <c r="V987" s="14"/>
      <c r="W987" s="14"/>
    </row>
    <row r="988">
      <c r="P988" s="14"/>
      <c r="Q988" s="14"/>
      <c r="T988" s="14"/>
      <c r="U988" s="14"/>
      <c r="V988" s="14"/>
      <c r="W988" s="14"/>
    </row>
    <row r="989">
      <c r="P989" s="14"/>
      <c r="Q989" s="14"/>
      <c r="T989" s="14"/>
      <c r="U989" s="14"/>
      <c r="V989" s="14"/>
      <c r="W989" s="14"/>
    </row>
    <row r="990">
      <c r="P990" s="14"/>
      <c r="Q990" s="14"/>
      <c r="T990" s="14"/>
      <c r="U990" s="14"/>
      <c r="V990" s="14"/>
      <c r="W990" s="14"/>
    </row>
    <row r="991">
      <c r="P991" s="14"/>
      <c r="Q991" s="14"/>
      <c r="T991" s="14"/>
      <c r="U991" s="14"/>
      <c r="V991" s="14"/>
      <c r="W991" s="14"/>
    </row>
    <row r="992">
      <c r="P992" s="14"/>
      <c r="Q992" s="14"/>
      <c r="T992" s="14"/>
      <c r="U992" s="14"/>
      <c r="V992" s="14"/>
      <c r="W992" s="14"/>
    </row>
    <row r="993">
      <c r="P993" s="14"/>
      <c r="Q993" s="14"/>
      <c r="T993" s="14"/>
      <c r="U993" s="14"/>
      <c r="V993" s="14"/>
      <c r="W993" s="14"/>
    </row>
    <row r="994">
      <c r="P994" s="14"/>
      <c r="Q994" s="14"/>
      <c r="T994" s="14"/>
      <c r="U994" s="14"/>
      <c r="V994" s="14"/>
      <c r="W994" s="14"/>
    </row>
    <row r="995">
      <c r="P995" s="14"/>
      <c r="Q995" s="14"/>
      <c r="T995" s="14"/>
      <c r="U995" s="14"/>
      <c r="V995" s="14"/>
      <c r="W995" s="14"/>
    </row>
    <row r="996">
      <c r="P996" s="14"/>
      <c r="Q996" s="14"/>
      <c r="T996" s="14"/>
      <c r="U996" s="14"/>
      <c r="V996" s="14"/>
      <c r="W996" s="14"/>
    </row>
    <row r="997">
      <c r="P997" s="14"/>
      <c r="Q997" s="14"/>
      <c r="T997" s="14"/>
      <c r="U997" s="14"/>
      <c r="V997" s="14"/>
      <c r="W997" s="14"/>
    </row>
    <row r="998">
      <c r="P998" s="14"/>
      <c r="Q998" s="14"/>
      <c r="T998" s="14"/>
      <c r="U998" s="14"/>
      <c r="V998" s="14"/>
      <c r="W998" s="14"/>
    </row>
    <row r="999">
      <c r="P999" s="14"/>
      <c r="Q999" s="14"/>
      <c r="T999" s="14"/>
      <c r="U999" s="14"/>
      <c r="V999" s="14"/>
      <c r="W999" s="14"/>
    </row>
    <row r="1000">
      <c r="P1000" s="14"/>
      <c r="Q1000" s="14"/>
      <c r="T1000" s="14"/>
      <c r="U1000" s="14"/>
      <c r="V1000" s="14"/>
      <c r="W1000"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 t="s">
        <v>1</v>
      </c>
    </row>
    <row r="3">
      <c r="B3" s="2" t="s">
        <v>10</v>
      </c>
    </row>
    <row r="4">
      <c r="B4" s="2" t="s">
        <v>13</v>
      </c>
    </row>
    <row r="5">
      <c r="B5" s="2" t="s">
        <v>16</v>
      </c>
    </row>
    <row r="6">
      <c r="B6" s="2" t="s">
        <v>18</v>
      </c>
    </row>
    <row r="7">
      <c r="B7" s="2" t="s">
        <v>20</v>
      </c>
    </row>
  </sheetData>
  <drawing r:id="rId1"/>
</worksheet>
</file>